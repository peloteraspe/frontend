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3d4707ec4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046ce98480c4da6"/>
    <x:sheet xmlns:r="http://schemas.openxmlformats.org/officeDocument/2006/relationships" name="Presupuesto" sheetId="2" r:id="R3b748c8745274689"/>
    <x:sheet xmlns:r="http://schemas.openxmlformats.org/officeDocument/2006/relationships" name="Parámetros" sheetId="3" r:id="Rac21e52e152b4eaf"/>
    <x:sheet xmlns:r="http://schemas.openxmlformats.org/officeDocument/2006/relationships" name="Escenarios" sheetId="4" r:id="Rf1c5094a89044a79"/>
    <x:sheet xmlns:r="http://schemas.openxmlformats.org/officeDocument/2006/relationships" name="Control" sheetId="5" r:id="R3ddf452e98334d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S/&quot; #,##0.0;[Red](&quot;S/&quot; #,##0.0);-"/>
    <x:numFmt numFmtId="201" formatCode="0.0%"/>
    <x:numFmt numFmtId="202" formatCode="&quot;S/&quot; #,##0;[Red](&quot;S/&quot; #,##0);-"/>
    <x:numFmt numFmtId="203" formatCode="#,##0.0"/>
    <x:numFmt numFmtId="204" formatCode="#,##0"/>
  </x:numFmts>
  <x:fonts count="23">
    <x:font>
      <x:sz val="11"/>
      <x:name val="Carlito"/>
    </x:font>
    <x:font>
      <x:b/>
      <x:sz val="18"/>
      <x:color rgb="FFFFFFFF"/>
      <x:name val="Aptos Display"/>
    </x:font>
    <x:font>
      <x:sz val="10"/>
      <x:color rgb="FF6B6670"/>
      <x:name val="Aptos"/>
    </x:font>
    <x:font>
      <x:b/>
      <x:sz val="12"/>
      <x:color rgb="FF43105C"/>
      <x:name val="Aptos"/>
    </x:font>
    <x:font>
      <x:b/>
      <x:sz val="10"/>
      <x:color rgb="FF43105C"/>
      <x:name val="Aptos"/>
    </x:font>
    <x:font>
      <x:sz val="10"/>
      <x:color rgb="FF252329"/>
      <x:name val="Aptos"/>
    </x:font>
    <x:font>
      <x:sz val="10"/>
      <x:color rgb="FF1D4ED8"/>
      <x:name val="Aptos"/>
    </x:font>
    <x:font>
      <x:i/>
      <x:sz val="10"/>
      <x:color rgb="FF805E12"/>
      <x:name val="Aptos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28613E"/>
      <x:name val="Aptos"/>
    </x:font>
    <x:font>
      <x:b/>
      <x:sz val="20"/>
      <x:color rgb="FFFFFFFF"/>
      <x:name val="Aptos Display"/>
    </x:font>
    <x:font>
      <x:b/>
      <x:sz val="10"/>
      <x:color rgb="FF1D4ED8"/>
      <x:name val="Aptos"/>
    </x:font>
    <x:font>
      <x:b/>
      <x:sz val="9"/>
      <x:color rgb="FF6B6670"/>
      <x:name val="Aptos"/>
    </x:font>
    <x:font>
      <x:b/>
      <x:sz val="18"/>
      <x:color rgb="FF43105C"/>
      <x:name val="Aptos Display"/>
    </x:font>
    <x:font>
      <x:b/>
      <x:sz val="18"/>
      <x:color rgb="FF28613E"/>
      <x:name val="Aptos Display"/>
    </x:font>
    <x:font>
      <x:b/>
      <x:sz val="18"/>
      <x:color rgb="FF805E12"/>
      <x:name val="Aptos Display"/>
    </x:font>
    <x:font>
      <x:b/>
      <x:sz val="13"/>
      <x:color rgb="FFFFFFFF"/>
      <x:name val="Aptos"/>
    </x:font>
    <x:font>
      <x:b/>
      <x:sz val="20"/>
      <x:color rgb="FFFFFFFF"/>
      <x:name val="Aptos"/>
    </x:font>
    <x:font>
      <x:b/>
      <x:sz val="18"/>
      <x:color rgb="FF43105C"/>
      <x:name val="Aptos"/>
    </x:font>
    <x:font>
      <x:b/>
      <x:sz val="18"/>
      <x:color rgb="FF28613E"/>
      <x:name val="Aptos"/>
    </x:font>
    <x:font>
      <x:b/>
      <x:sz val="18"/>
      <x:color rgb="FF805E12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3105C"/>
      </x:patternFill>
    </x:fill>
    <x:fill>
      <x:patternFill patternType="solid">
        <x:fgColor rgb="FFFBF8FC"/>
      </x:patternFill>
    </x:fill>
    <x:fill>
      <x:patternFill patternType="solid">
        <x:fgColor rgb="FFF5EEFA"/>
      </x:patternFill>
    </x:fill>
    <x:fill>
      <x:patternFill patternType="solid">
        <x:fgColor rgb="FFF2F4F7"/>
      </x:patternFill>
    </x:fill>
    <x:fill>
      <x:patternFill patternType="solid">
        <x:fgColor rgb="FFEFF6FF"/>
      </x:patternFill>
    </x:fill>
    <x:fill>
      <x:patternFill patternType="solid">
        <x:fgColor rgb="FFFFF8E5"/>
      </x:patternFill>
    </x:fill>
    <x:fill>
      <x:patternFill patternType="solid">
        <x:fgColor rgb="FFEAF6EF"/>
      </x:patternFill>
    </x:fill>
  </x:fills>
  <x:borders count="15">
    <x:border/>
    <x:border>
      <x:bottom style="thin">
        <x:color rgb="FFD8D5DB"/>
      </x:bottom>
    </x:border>
    <x:border>
      <x:top style="thin">
        <x:color rgb="FFD8D5DB"/>
      </x:top>
      <x:bottom style="medium">
        <x:color rgb="FF43105C"/>
      </x:bottom>
    </x:border>
    <x:border>
      <x:left style="thin">
        <x:color rgb="FFD8D5DB"/>
      </x:left>
      <x:top style="thin">
        <x:color rgb="FFD8D5DB"/>
      </x:top>
      <x:bottom style="thin">
        <x:color rgb="FFD8D5DB"/>
      </x:bottom>
    </x:border>
    <x:border>
      <x:top style="thin">
        <x:color rgb="FFD8D5DB"/>
      </x:top>
      <x:bottom style="thin">
        <x:color rgb="FFD8D5DB"/>
      </x:bottom>
    </x:border>
    <x:border>
      <x:right style="thin">
        <x:color rgb="FFD8D5DB"/>
      </x:right>
      <x:top style="thin">
        <x:color rgb="FFD8D5DB"/>
      </x:top>
      <x:bottom style="thin">
        <x:color rgb="FFD8D5DB"/>
      </x:bottom>
    </x:border>
    <x:border>
      <x:top style="medium">
        <x:color rgb="FF43105C"/>
      </x:top>
    </x:border>
    <x:border>
      <x:bottom style="double">
        <x:color rgb="FF43105C"/>
      </x:bottom>
    </x:border>
    <x:border>
      <x:left style="thin">
        <x:color rgb="FFD8D5DB"/>
      </x:left>
      <x:top style="thin">
        <x:color rgb="FFD8D5DB"/>
      </x:top>
    </x:border>
    <x:border>
      <x:right style="thin">
        <x:color rgb="FFD8D5DB"/>
      </x:right>
      <x:top style="thin">
        <x:color rgb="FFD8D5DB"/>
      </x:top>
    </x:border>
    <x:border>
      <x:left style="thin">
        <x:color rgb="FFD8D5DB"/>
      </x:left>
      <x:bottom style="thin">
        <x:color rgb="FFD8D5DB"/>
      </x:bottom>
    </x:border>
    <x:border>
      <x:right style="thin">
        <x:color rgb="FFD8D5DB"/>
      </x:right>
      <x:bottom style="thin">
        <x:color rgb="FFD8D5DB"/>
      </x:bottom>
    </x:border>
    <x:border>
      <x:top style="thin">
        <x:color rgb="FFD8D5DB"/>
      </x:top>
    </x:border>
    <x:border>
      <x:left style="thin">
        <x:color rgb="FFD8D5DB"/>
      </x:left>
    </x:border>
    <x:border>
      <x:right style="thin">
        <x:color rgb="FFD8D5DB"/>
      </x:right>
    </x:border>
  </x:borders>
  <x:cellStyleXfs count="1">
    <x:xf numFmtId="0" fontId="0" fillId="0" borderId="0"/>
  </x:cellStyleXfs>
  <x:cellXfs count="1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1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1" fontId="6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203" fontId="6" fillId="6" borderId="0" xfId="0" applyNumberFormat="1" applyFont="1" applyFill="1" applyBorder="1" applyAlignment="1">
      <x:alignment vertical="center"/>
    </x:xf>
    <x:xf numFmtId="203" fontId="6" fillId="6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6" fillId="6" borderId="1" xfId="0" applyNumberFormat="1" applyFont="1" applyFill="1" applyBorder="1" applyAlignment="1">
      <x:alignment vertical="center"/>
    </x:xf>
    <x:xf numFmtId="203" fontId="6" fillId="6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2" fontId="6" fillId="6" borderId="0" xfId="0" applyNumberFormat="1" applyFont="1" applyFill="1" applyBorder="1" applyAlignment="1">
      <x:alignment horizontal="right" vertical="center"/>
    </x:xf>
    <x:xf numFmtId="203" fontId="6" fillId="6" borderId="1" xfId="0" applyNumberFormat="1" applyFont="1" applyFill="1" applyBorder="1" applyAlignment="1">
      <x:alignment horizontal="right" vertical="center"/>
    </x:xf>
    <x:xf numFmtId="202" fontId="5" fillId="0" borderId="1" xfId="0" applyNumberFormat="1" applyFont="1" applyFill="1" applyBorder="1" applyAlignment="1">
      <x:alignment horizontal="right" vertical="center"/>
    </x:xf>
    <x:xf numFmtId="202" fontId="6" fillId="6" borderId="1" xfId="0" applyNumberFormat="1" applyFont="1" applyFill="1" applyBorder="1" applyAlignment="1">
      <x:alignment horizontal="right" vertical="center"/>
    </x:xf>
    <x:xf numFmtId="0" fontId="10" fillId="2" borderId="0" xfId="0" applyNumberFormat="1" applyFont="1" applyFill="1" applyBorder="1"/>
    <x:xf numFmtId="0" fontId="10" fillId="2" borderId="6" xfId="0" applyNumberFormat="1" applyFont="1" applyFill="1" applyBorder="1"/>
    <x:xf numFmtId="0" fontId="10" fillId="2" borderId="6" xfId="0" applyNumberFormat="1" applyFont="1" applyFill="1" applyBorder="1" applyAlignment="1">
      <x:alignment vertical="center"/>
    </x:xf>
    <x:xf numFmtId="203" fontId="10" fillId="2" borderId="6" xfId="0" applyNumberFormat="1" applyFont="1" applyFill="1" applyBorder="1" applyAlignment="1">
      <x:alignment vertical="center"/>
    </x:xf>
    <x:xf numFmtId="202" fontId="10" fillId="2" borderId="6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horizontal="left" vertical="center" wrapText="1"/>
    </x:xf>
    <x:xf numFmtId="201" fontId="6" fillId="8" borderId="0" xfId="0" applyNumberFormat="1" applyFont="1" applyFill="1" applyBorder="1" applyAlignment="1">
      <x:alignment vertical="center"/>
    </x:xf>
    <x:xf numFmtId="202" fontId="5" fillId="8" borderId="0" xfId="0" applyNumberFormat="1" applyFont="1" applyFill="1" applyBorder="1" applyAlignment="1">
      <x:alignment vertical="center"/>
    </x:xf>
    <x:xf numFmtId="202" fontId="5" fillId="8" borderId="1" xfId="0" applyNumberFormat="1" applyFont="1" applyFill="1" applyBorder="1" applyAlignment="1">
      <x:alignment vertical="center"/>
    </x:xf>
    <x:xf numFmtId="0" fontId="11" fillId="8" borderId="2" xfId="0" applyNumberFormat="1" applyFont="1" applyFill="1" applyBorder="1" applyAlignment="1">
      <x:alignment horizontal="left" vertical="center" wrapText="1"/>
    </x:xf>
    <x:xf numFmtId="201" fontId="11" fillId="8" borderId="0" xfId="0" applyNumberFormat="1" applyFont="1" applyFill="1" applyBorder="1" applyAlignment="1">
      <x:alignment vertical="center"/>
    </x:xf>
    <x:xf numFmtId="202" fontId="11" fillId="8" borderId="0" xfId="0" applyNumberFormat="1" applyFont="1" applyFill="1" applyBorder="1" applyAlignment="1">
      <x:alignment vertical="center"/>
    </x:xf>
    <x:xf numFmtId="202" fontId="11" fillId="8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2" fontId="11" fillId="8" borderId="7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left"/>
    </x:xf>
    <x:xf numFmtId="0" fontId="12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horizontal="left"/>
    </x:xf>
    <x:xf numFmtId="0" fontId="14" fillId="4" borderId="0" xfId="0" applyNumberFormat="1" applyFont="1" applyFill="1" applyBorder="1"/>
    <x:xf numFmtId="0" fontId="14" fillId="4" borderId="8" xfId="0" applyNumberFormat="1" applyFont="1" applyFill="1" applyBorder="1"/>
    <x:xf numFmtId="0" fontId="14" fillId="4" borderId="9" xfId="0" applyNumberFormat="1" applyFont="1" applyFill="1" applyBorder="1"/>
    <x:xf numFmtId="0" fontId="14" fillId="4" borderId="8" xfId="0" applyNumberFormat="1" applyFont="1" applyFill="1" applyBorder="1" applyAlignment="1">
      <x:alignment horizontal="left"/>
    </x:xf>
    <x:xf numFmtId="0" fontId="14" fillId="4" borderId="9" xfId="0" applyNumberFormat="1" applyFont="1" applyFill="1" applyBorder="1" applyAlignment="1">
      <x:alignment horizontal="left"/>
    </x:xf>
    <x:xf numFmtId="0" fontId="14" fillId="4" borderId="8" xfId="0" applyNumberFormat="1" applyFont="1" applyFill="1" applyBorder="1" applyAlignment="1">
      <x:alignment horizontal="left" vertical="center"/>
    </x:xf>
    <x:xf numFmtId="0" fontId="14" fillId="4" borderId="9" xfId="0" applyNumberFormat="1" applyFont="1" applyFill="1" applyBorder="1" applyAlignment="1">
      <x:alignment horizontal="left" vertical="center"/>
    </x:xf>
    <x:xf numFmtId="0" fontId="15" fillId="4" borderId="0" xfId="0" applyNumberFormat="1" applyFont="1" applyFill="1" applyBorder="1"/>
    <x:xf numFmtId="0" fontId="15" fillId="4" borderId="10" xfId="0" applyNumberFormat="1" applyFont="1" applyFill="1" applyBorder="1"/>
    <x:xf numFmtId="0" fontId="15" fillId="4" borderId="11" xfId="0" applyNumberFormat="1" applyFont="1" applyFill="1" applyBorder="1"/>
    <x:xf numFmtId="204" fontId="15" fillId="4" borderId="10" xfId="0" applyNumberFormat="1" applyFont="1" applyFill="1" applyBorder="1"/>
    <x:xf numFmtId="204" fontId="15" fillId="4" borderId="11" xfId="0" applyNumberFormat="1" applyFont="1" applyFill="1" applyBorder="1"/>
    <x:xf numFmtId="204" fontId="15" fillId="4" borderId="10" xfId="0" applyNumberFormat="1" applyFont="1" applyFill="1" applyBorder="1" applyAlignment="1">
      <x:alignment horizontal="left"/>
    </x:xf>
    <x:xf numFmtId="204" fontId="15" fillId="4" borderId="11" xfId="0" applyNumberFormat="1" applyFont="1" applyFill="1" applyBorder="1" applyAlignment="1">
      <x:alignment horizontal="left"/>
    </x:xf>
    <x:xf numFmtId="204" fontId="15" fillId="4" borderId="10" xfId="0" applyNumberFormat="1" applyFont="1" applyFill="1" applyBorder="1" applyAlignment="1">
      <x:alignment horizontal="left" vertical="center"/>
    </x:xf>
    <x:xf numFmtId="204" fontId="15" fillId="4" borderId="11" xfId="0" applyNumberFormat="1" applyFont="1" applyFill="1" applyBorder="1" applyAlignment="1">
      <x:alignment horizontal="left" vertical="center"/>
    </x:xf>
    <x:xf numFmtId="202" fontId="15" fillId="4" borderId="10" xfId="0" applyNumberFormat="1" applyFont="1" applyFill="1" applyBorder="1"/>
    <x:xf numFmtId="202" fontId="15" fillId="4" borderId="11" xfId="0" applyNumberFormat="1" applyFont="1" applyFill="1" applyBorder="1"/>
    <x:xf numFmtId="202" fontId="15" fillId="4" borderId="10" xfId="0" applyNumberFormat="1" applyFont="1" applyFill="1" applyBorder="1" applyAlignment="1">
      <x:alignment horizontal="left"/>
    </x:xf>
    <x:xf numFmtId="202" fontId="15" fillId="4" borderId="11" xfId="0" applyNumberFormat="1" applyFont="1" applyFill="1" applyBorder="1" applyAlignment="1">
      <x:alignment horizontal="left"/>
    </x:xf>
    <x:xf numFmtId="202" fontId="15" fillId="4" borderId="10" xfId="0" applyNumberFormat="1" applyFont="1" applyFill="1" applyBorder="1" applyAlignment="1">
      <x:alignment horizontal="left" vertical="center"/>
    </x:xf>
    <x:xf numFmtId="202" fontId="15" fillId="4" borderId="1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8" xfId="0" applyNumberFormat="1" applyFont="1" applyFill="1" applyBorder="1"/>
    <x:xf numFmtId="0" fontId="14" fillId="8" borderId="9" xfId="0" applyNumberFormat="1" applyFont="1" applyFill="1" applyBorder="1"/>
    <x:xf numFmtId="0" fontId="14" fillId="8" borderId="8" xfId="0" applyNumberFormat="1" applyFont="1" applyFill="1" applyBorder="1" applyAlignment="1">
      <x:alignment horizontal="left"/>
    </x:xf>
    <x:xf numFmtId="0" fontId="14" fillId="8" borderId="9" xfId="0" applyNumberFormat="1" applyFont="1" applyFill="1" applyBorder="1" applyAlignment="1">
      <x:alignment horizontal="left"/>
    </x:xf>
    <x:xf numFmtId="0" fontId="14" fillId="8" borderId="8" xfId="0" applyNumberFormat="1" applyFont="1" applyFill="1" applyBorder="1" applyAlignment="1">
      <x:alignment horizontal="left" vertical="center"/>
    </x:xf>
    <x:xf numFmtId="0" fontId="14" fillId="8" borderId="9" xfId="0" applyNumberFormat="1" applyFont="1" applyFill="1" applyBorder="1" applyAlignment="1">
      <x:alignment horizontal="left" vertical="center"/>
    </x:xf>
    <x:xf numFmtId="0" fontId="16" fillId="8" borderId="0" xfId="0" applyNumberFormat="1" applyFont="1" applyFill="1" applyBorder="1"/>
    <x:xf numFmtId="0" fontId="16" fillId="8" borderId="10" xfId="0" applyNumberFormat="1" applyFont="1" applyFill="1" applyBorder="1"/>
    <x:xf numFmtId="0" fontId="16" fillId="8" borderId="11" xfId="0" applyNumberFormat="1" applyFont="1" applyFill="1" applyBorder="1"/>
    <x:xf numFmtId="202" fontId="16" fillId="8" borderId="10" xfId="0" applyNumberFormat="1" applyFont="1" applyFill="1" applyBorder="1"/>
    <x:xf numFmtId="202" fontId="16" fillId="8" borderId="11" xfId="0" applyNumberFormat="1" applyFont="1" applyFill="1" applyBorder="1"/>
    <x:xf numFmtId="202" fontId="16" fillId="8" borderId="10" xfId="0" applyNumberFormat="1" applyFont="1" applyFill="1" applyBorder="1" applyAlignment="1">
      <x:alignment horizontal="left"/>
    </x:xf>
    <x:xf numFmtId="202" fontId="16" fillId="8" borderId="11" xfId="0" applyNumberFormat="1" applyFont="1" applyFill="1" applyBorder="1" applyAlignment="1">
      <x:alignment horizontal="left"/>
    </x:xf>
    <x:xf numFmtId="202" fontId="16" fillId="8" borderId="10" xfId="0" applyNumberFormat="1" applyFont="1" applyFill="1" applyBorder="1" applyAlignment="1">
      <x:alignment horizontal="left" vertical="center"/>
    </x:xf>
    <x:xf numFmtId="202" fontId="16" fillId="8" borderId="11" xfId="0" applyNumberFormat="1" applyFont="1" applyFill="1" applyBorder="1" applyAlignment="1">
      <x:alignment horizontal="left" vertical="center"/>
    </x:xf>
    <x:xf numFmtId="0" fontId="14" fillId="7" borderId="0" xfId="0" applyNumberFormat="1" applyFont="1" applyFill="1" applyBorder="1"/>
    <x:xf numFmtId="0" fontId="14" fillId="7" borderId="8" xfId="0" applyNumberFormat="1" applyFont="1" applyFill="1" applyBorder="1"/>
    <x:xf numFmtId="0" fontId="14" fillId="7" borderId="9" xfId="0" applyNumberFormat="1" applyFont="1" applyFill="1" applyBorder="1"/>
    <x:xf numFmtId="0" fontId="14" fillId="7" borderId="8" xfId="0" applyNumberFormat="1" applyFont="1" applyFill="1" applyBorder="1" applyAlignment="1">
      <x:alignment horizontal="left"/>
    </x:xf>
    <x:xf numFmtId="0" fontId="14" fillId="7" borderId="9" xfId="0" applyNumberFormat="1" applyFont="1" applyFill="1" applyBorder="1" applyAlignment="1">
      <x:alignment horizontal="left"/>
    </x:xf>
    <x:xf numFmtId="0" fontId="14" fillId="7" borderId="8" xfId="0" applyNumberFormat="1" applyFont="1" applyFill="1" applyBorder="1" applyAlignment="1">
      <x:alignment horizontal="left" vertical="center"/>
    </x:xf>
    <x:xf numFmtId="0" fontId="14" fillId="7" borderId="9" xfId="0" applyNumberFormat="1" applyFont="1" applyFill="1" applyBorder="1" applyAlignment="1">
      <x:alignment horizontal="left" vertical="center"/>
    </x:xf>
    <x:xf numFmtId="0" fontId="17" fillId="7" borderId="0" xfId="0" applyNumberFormat="1" applyFont="1" applyFill="1" applyBorder="1"/>
    <x:xf numFmtId="0" fontId="17" fillId="7" borderId="10" xfId="0" applyNumberFormat="1" applyFont="1" applyFill="1" applyBorder="1"/>
    <x:xf numFmtId="0" fontId="17" fillId="7" borderId="11" xfId="0" applyNumberFormat="1" applyFont="1" applyFill="1" applyBorder="1"/>
    <x:xf numFmtId="201" fontId="17" fillId="7" borderId="10" xfId="0" applyNumberFormat="1" applyFont="1" applyFill="1" applyBorder="1"/>
    <x:xf numFmtId="201" fontId="17" fillId="7" borderId="11" xfId="0" applyNumberFormat="1" applyFont="1" applyFill="1" applyBorder="1"/>
    <x:xf numFmtId="201" fontId="17" fillId="7" borderId="10" xfId="0" applyNumberFormat="1" applyFont="1" applyFill="1" applyBorder="1" applyAlignment="1">
      <x:alignment horizontal="left"/>
    </x:xf>
    <x:xf numFmtId="201" fontId="17" fillId="7" borderId="11" xfId="0" applyNumberFormat="1" applyFont="1" applyFill="1" applyBorder="1" applyAlignment="1">
      <x:alignment horizontal="left"/>
    </x:xf>
    <x:xf numFmtId="201" fontId="17" fillId="7" borderId="10" xfId="0" applyNumberFormat="1" applyFont="1" applyFill="1" applyBorder="1" applyAlignment="1">
      <x:alignment horizontal="left" vertical="center"/>
    </x:xf>
    <x:xf numFmtId="201" fontId="17" fillId="7" borderId="1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12" xfId="0" applyNumberFormat="1" applyFont="1" applyFill="1" applyBorder="1"/>
    <x:xf numFmtId="0" fontId="5" fillId="3" borderId="9" xfId="0" applyNumberFormat="1" applyFont="1" applyFill="1" applyBorder="1"/>
    <x:xf numFmtId="0" fontId="5" fillId="3" borderId="13" xfId="0" applyNumberFormat="1" applyFont="1" applyFill="1" applyBorder="1"/>
    <x:xf numFmtId="0" fontId="5" fillId="3" borderId="14" xfId="0" applyNumberFormat="1" applyFont="1" applyFill="1" applyBorder="1"/>
    <x:xf numFmtId="0" fontId="5" fillId="3" borderId="10" xfId="0" applyNumberFormat="1" applyFont="1" applyFill="1" applyBorder="1"/>
    <x:xf numFmtId="0" fontId="5" fillId="3" borderId="1" xfId="0" applyNumberFormat="1" applyFont="1" applyFill="1" applyBorder="1"/>
    <x:xf numFmtId="0" fontId="5" fillId="3" borderId="11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4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3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4" xfId="0" applyNumberFormat="1" applyFont="1" applyFill="1" applyBorder="1" applyAlignment="1">
      <x:alignment vertical="top" wrapText="1"/>
    </x:xf>
    <x:xf numFmtId="0" fontId="5" fillId="3" borderId="1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9" fillId="2" borderId="0" xfId="0" applyNumberFormat="1" applyFont="1" applyFill="1" applyBorder="1" applyAlignment="1">
      <x:alignment horizontal="left" vertical="center"/>
    </x:xf>
    <x:xf numFmtId="204" fontId="20" fillId="4" borderId="10" xfId="0" applyNumberFormat="1" applyFont="1" applyFill="1" applyBorder="1" applyAlignment="1">
      <x:alignment horizontal="left" vertical="center"/>
    </x:xf>
    <x:xf numFmtId="204" fontId="20" fillId="4" borderId="11" xfId="0" applyNumberFormat="1" applyFont="1" applyFill="1" applyBorder="1" applyAlignment="1">
      <x:alignment horizontal="left" vertical="center"/>
    </x:xf>
    <x:xf numFmtId="202" fontId="20" fillId="4" borderId="10" xfId="0" applyNumberFormat="1" applyFont="1" applyFill="1" applyBorder="1" applyAlignment="1">
      <x:alignment horizontal="left" vertical="center"/>
    </x:xf>
    <x:xf numFmtId="202" fontId="20" fillId="4" borderId="11" xfId="0" applyNumberFormat="1" applyFont="1" applyFill="1" applyBorder="1" applyAlignment="1">
      <x:alignment horizontal="left" vertical="center"/>
    </x:xf>
    <x:xf numFmtId="202" fontId="21" fillId="8" borderId="10" xfId="0" applyNumberFormat="1" applyFont="1" applyFill="1" applyBorder="1" applyAlignment="1">
      <x:alignment horizontal="left" vertical="center"/>
    </x:xf>
    <x:xf numFmtId="202" fontId="21" fillId="8" borderId="11" xfId="0" applyNumberFormat="1" applyFont="1" applyFill="1" applyBorder="1" applyAlignment="1">
      <x:alignment horizontal="left" vertical="center"/>
    </x:xf>
    <x:xf numFmtId="201" fontId="22" fillId="7" borderId="10" xfId="0" applyNumberFormat="1" applyFont="1" applyFill="1" applyBorder="1" applyAlignment="1">
      <x:alignment horizontal="left" vertical="center"/>
    </x:xf>
    <x:xf numFmtId="201" fontId="22" fillId="7" borderId="1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3" fillId="6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28613E"/>
      </x:font>
      <x:fill>
        <x:patternFill patternType="solid">
          <x:bgColor rgb="FFEAF6EF"/>
        </x:patternFill>
      </x:fill>
    </x:dxf>
    <x:dxf>
      <x:font>
        <x:b/>
        <x:color rgb="FF912A2A"/>
      </x:font>
      <x:fill>
        <x:patternFill patternType="solid">
          <x:bgColor rgb="FFFDECEC"/>
        </x:patternFill>
      </x:fill>
    </x:dxf>
    <x:dxf>
      <x:font>
        <x:b/>
        <x:color rgb="FF28613E"/>
      </x:font>
      <x:fill>
        <x:patternFill patternType="solid">
          <x:bgColor rgb="FFEAF6EF"/>
        </x:patternFill>
      </x:fill>
    </x:dxf>
    <x:dxf>
      <x:font>
        <x:b/>
        <x:color rgb="FF912A2A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a76eba99d4806" /><Relationship Type="http://schemas.openxmlformats.org/officeDocument/2006/relationships/theme" Target="/xl/theme/theme1.xml" Id="R19338d71cfc04a19" /><Relationship Type="http://schemas.openxmlformats.org/officeDocument/2006/relationships/sharedStrings" Target="/xl/sharedStrings.xml" Id="Ree2a2d2cbc6e41bd" /><Relationship Type="http://schemas.openxmlformats.org/officeDocument/2006/relationships/worksheet" Target="/xl/worksheets/sheet1.xml" Id="R3046ce98480c4da6" /><Relationship Type="http://schemas.openxmlformats.org/officeDocument/2006/relationships/worksheet" Target="/xl/worksheets/sheet2.xml" Id="R3b748c8745274689" /><Relationship Type="http://schemas.openxmlformats.org/officeDocument/2006/relationships/worksheet" Target="/xl/worksheets/sheet3.xml" Id="Rac21e52e152b4eaf" /><Relationship Type="http://schemas.openxmlformats.org/officeDocument/2006/relationships/worksheet" Target="/xl/worksheets/sheet4.xml" Id="Rf1c5094a89044a79" /><Relationship Type="http://schemas.openxmlformats.org/officeDocument/2006/relationships/worksheet" Target="/xl/worksheets/sheet5.xml" Id="R3ddf452e98334d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25b3e546d345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Costo directo por módulo (S/)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Costo directo</c:v>
          </c:tx>
          <c:cat>
            <c:strRef>
              <c:f>'Resumen'!$A$14:$A$21</c:f>
              <c:strCache>
                <c:ptCount val="0"/>
              </c:strCache>
            </c:strRef>
          </c:cat>
          <c:val>
            <c:numRef>
              <c:f>'Resumen'!$B$14:$B$21</c:f>
              <c:numCache>
                <c:formatCode>"S/" #,##0;[Red]("S/"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S/&quot; 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25b3e546d345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6658b2991d42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3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4" customHeight="1">
      <x:c r="A1" s="170" t="str">
        <x:v>Modelo de costos y precio sugerido</x:v>
      </x:c>
      <x:c r="B1" s="170" t="str">
        <x:v>Modelo de costos y precio sugerido</x:v>
      </x:c>
      <x:c r="C1" s="170" t="str">
        <x:v>Modelo de costos y precio sugerido</x:v>
      </x:c>
      <x:c r="D1" s="170" t="str">
        <x:v>Modelo de costos y precio sugerido</x:v>
      </x:c>
      <x:c r="E1" s="170" t="str">
        <x:v>Modelo de costos y precio sugerido</x:v>
      </x:c>
      <x:c r="F1" s="170" t="str">
        <x:v>Modelo de costos y precio sugerido</x:v>
      </x:c>
      <x:c r="G1" s="170" t="str">
        <x:v>Modelo de costos y precio sugerido</x:v>
      </x:c>
      <x:c r="H1" s="170" t="str">
        <x:v>Modelo de costos y precio sugerido</x:v>
      </x:c>
      <x:c r="I1" s="170" t="str">
        <x:v>Modelo de costos y precio sugerido</x:v>
      </x:c>
      <x:c r="J1" s="170" t="str">
        <x:v>Modelo de costos y precio sugerido</x:v>
      </x:c>
    </x:row>
    <x:row r="2">
      <x:c r="A2" s="179" t="str">
        <x:v>Programa Alianza Full Chocolate x Peloteras | Base editable en soles | Versión 1.0 - 19/07/2026</x:v>
      </x:c>
      <x:c r="B2" s="179" t="str">
        <x:v>Programa Alianza Full Chocolate x Peloteras | Base editable en soles | Versión 1.0 - 19/07/2026</x:v>
      </x:c>
      <x:c r="C2" s="179" t="str">
        <x:v>Programa Alianza Full Chocolate x Peloteras | Base editable en soles | Versión 1.0 - 19/07/2026</x:v>
      </x:c>
      <x:c r="D2" s="179" t="str">
        <x:v>Programa Alianza Full Chocolate x Peloteras | Base editable en soles | Versión 1.0 - 19/07/2026</x:v>
      </x:c>
      <x:c r="E2" s="179" t="str">
        <x:v>Programa Alianza Full Chocolate x Peloteras | Base editable en soles | Versión 1.0 - 19/07/2026</x:v>
      </x:c>
      <x:c r="F2" s="179" t="str">
        <x:v>Programa Alianza Full Chocolate x Peloteras | Base editable en soles | Versión 1.0 - 19/07/2026</x:v>
      </x:c>
      <x:c r="G2" s="179" t="str">
        <x:v>Programa Alianza Full Chocolate x Peloteras | Base editable en soles | Versión 1.0 - 19/07/2026</x:v>
      </x:c>
      <x:c r="H2" s="179" t="str">
        <x:v>Programa Alianza Full Chocolate x Peloteras | Base editable en soles | Versión 1.0 - 19/07/2026</x:v>
      </x:c>
      <x:c r="I2" s="179" t="str">
        <x:v>Programa Alianza Full Chocolate x Peloteras | Base editable en soles | Versión 1.0 - 19/07/2026</x:v>
      </x:c>
      <x:c r="J2" s="179" t="str">
        <x:v>Programa Alianza Full Chocolate x Peloteras | Base editable en soles | Versión 1.0 - 19/07/2026</x:v>
      </x:c>
    </x:row>
    <x:row r="3">
      <x:c r="A3" s="180" t="str">
        <x:v>Editar únicamente las celdas azules de Presupuesto y Parámetros. El escenario recomendado se recalcula automáticamente.</x:v>
      </x:c>
      <x:c r="B3" s="180" t="str">
        <x:v>Editar únicamente las celdas azules de Presupuesto y Parámetros. El escenario recomendado se recalcula automáticamente.</x:v>
      </x:c>
      <x:c r="C3" s="180" t="str">
        <x:v>Editar únicamente las celdas azules de Presupuesto y Parámetros. El escenario recomendado se recalcula automáticamente.</x:v>
      </x:c>
      <x:c r="D3" s="180" t="str">
        <x:v>Editar únicamente las celdas azules de Presupuesto y Parámetros. El escenario recomendado se recalcula automáticamente.</x:v>
      </x:c>
      <x:c r="E3" s="180" t="str">
        <x:v>Editar únicamente las celdas azules de Presupuesto y Parámetros. El escenario recomendado se recalcula automáticamente.</x:v>
      </x:c>
      <x:c r="F3" s="180" t="str">
        <x:v>Editar únicamente las celdas azules de Presupuesto y Parámetros. El escenario recomendado se recalcula automáticamente.</x:v>
      </x:c>
      <x:c r="G3" s="180" t="str">
        <x:v>Editar únicamente las celdas azules de Presupuesto y Parámetros. El escenario recomendado se recalcula automáticamente.</x:v>
      </x:c>
      <x:c r="H3" s="180" t="str">
        <x:v>Editar únicamente las celdas azules de Presupuesto y Parámetros. El escenario recomendado se recalcula automáticamente.</x:v>
      </x:c>
      <x:c r="I3" s="180" t="str">
        <x:v>Editar únicamente las celdas azules de Presupuesto y Parámetros. El escenario recomendado se recalcula automáticamente.</x:v>
      </x:c>
      <x:c r="J3" s="180" t="str">
        <x:v>Editar únicamente las celdas azules de Presupuesto y Parámetros. El escenario recomendado se recalcula automáticamente.</x:v>
      </x:c>
    </x:row>
    <x:row r="4">
      <x:c r="A4" s="181"/>
      <x:c r="B4" s="181"/>
      <x:c r="C4" s="181"/>
      <x:c r="D4" s="181"/>
      <x:c r="E4" s="181"/>
      <x:c r="F4" s="181"/>
      <x:c r="G4" s="181"/>
      <x:c r="H4" s="181"/>
      <x:c r="I4" s="181"/>
      <x:c r="J4" s="181"/>
    </x:row>
    <x:row r="5" ht="22" customHeight="1">
      <x:c r="A5" s="83" t="str">
        <x:v>Horas estimadas</x:v>
      </x:c>
      <x:c r="B5" s="84" t="str">
        <x:v>Horas estimadas</x:v>
      </x:c>
      <x:c r="C5" s="181"/>
      <x:c r="D5" s="83" t="str">
        <x:v>Costo directo</x:v>
      </x:c>
      <x:c r="E5" s="84" t="str">
        <x:v>Costo directo</x:v>
      </x:c>
      <x:c r="F5" s="181"/>
      <x:c r="G5" s="83" t="str">
        <x:v>Costo total + reserva</x:v>
      </x:c>
      <x:c r="H5" s="84" t="str">
        <x:v>Costo total + reserva</x:v>
      </x:c>
      <x:c r="I5" s="181"/>
      <x:c r="J5" s="181"/>
    </x:row>
    <x:row r="6" ht="34" customHeight="1">
      <x:c r="A6" s="171" t="n">
        <x:f>'Presupuesto'!$D$36</x:f>
        <x:v>820</x:v>
      </x:c>
      <x:c r="B6" s="172"/>
      <x:c r="C6" s="181"/>
      <x:c r="D6" s="173" t="n">
        <x:f>'Presupuesto'!$H$36</x:f>
        <x:v>71920</x:v>
      </x:c>
      <x:c r="E6" s="174"/>
      <x:c r="F6" s="181"/>
      <x:c r="G6" s="173" t="n">
        <x:f>'Escenarios'!$C$10</x:f>
        <x:v>86994.43200000002</x:v>
      </x:c>
      <x:c r="H6" s="174"/>
      <x:c r="I6" s="181"/>
      <x:c r="J6" s="181"/>
    </x:row>
    <x:row r="7">
      <x:c r="A7" s="181"/>
      <x:c r="B7" s="181"/>
      <x:c r="C7" s="181"/>
      <x:c r="D7" s="181"/>
      <x:c r="E7" s="181"/>
      <x:c r="F7" s="181"/>
      <x:c r="G7" s="181"/>
      <x:c r="H7" s="181"/>
      <x:c r="I7" s="181"/>
      <x:c r="J7" s="181"/>
    </x:row>
    <x:row r="8" ht="22" customHeight="1">
      <x:c r="A8" s="106" t="str">
        <x:v>Precio recomendado sin IGV</x:v>
      </x:c>
      <x:c r="B8" s="107" t="str">
        <x:v>Precio recomendado sin IGV</x:v>
      </x:c>
      <x:c r="C8" s="181"/>
      <x:c r="D8" s="106" t="str">
        <x:v>Precio recomendado con IGV</x:v>
      </x:c>
      <x:c r="E8" s="107" t="str">
        <x:v>Precio recomendado con IGV</x:v>
      </x:c>
      <x:c r="F8" s="181"/>
      <x:c r="G8" s="122" t="str">
        <x:v>Margen objetivo</x:v>
      </x:c>
      <x:c r="H8" s="123" t="str">
        <x:v>Margen objetivo</x:v>
      </x:c>
      <x:c r="I8" s="181"/>
      <x:c r="J8" s="181"/>
    </x:row>
    <x:row r="9" ht="34" customHeight="1">
      <x:c r="A9" s="175" t="n">
        <x:f>'Escenarios'!$C$12</x:f>
        <x:v>116000</x:v>
      </x:c>
      <x:c r="B9" s="176"/>
      <x:c r="C9" s="181"/>
      <x:c r="D9" s="175" t="n">
        <x:f>'Escenarios'!$C$13</x:f>
        <x:v>136880</x:v>
      </x:c>
      <x:c r="E9" s="176"/>
      <x:c r="F9" s="181"/>
      <x:c r="G9" s="177" t="n">
        <x:f>'Escenarios'!$C$6</x:f>
        <x:v>0.25</x:v>
      </x:c>
      <x:c r="H9" s="178"/>
      <x:c r="I9" s="181"/>
      <x:c r="J9" s="181"/>
    </x:row>
    <x:row r="10">
      <x:c r="A10" s="181"/>
      <x:c r="B10" s="181"/>
      <x:c r="C10" s="181"/>
      <x:c r="D10" s="181"/>
      <x:c r="E10" s="181"/>
      <x:c r="F10" s="181"/>
      <x:c r="G10" s="181"/>
      <x:c r="H10" s="181"/>
      <x:c r="I10" s="181"/>
      <x:c r="J10" s="181"/>
    </x:row>
    <x:row r="11">
      <x:c r="A11" s="181"/>
      <x:c r="B11" s="181"/>
      <x:c r="C11" s="181"/>
      <x:c r="D11" s="181"/>
      <x:c r="E11" s="181"/>
      <x:c r="F11" s="181"/>
      <x:c r="G11" s="181"/>
      <x:c r="H11" s="181"/>
      <x:c r="I11" s="181"/>
      <x:c r="J11" s="181"/>
    </x:row>
    <x:row r="12" ht="24" customHeight="1">
      <x:c r="A12" s="12" t="str">
        <x:v>Costo directo por módulo</x:v>
      </x:c>
      <x:c r="B12" s="12" t="str">
        <x:v>Costo directo por módulo</x:v>
      </x:c>
      <x:c r="C12" s="12" t="str">
        <x:v>Costo directo por módulo</x:v>
      </x:c>
      <x:c r="D12" s="12" t="str">
        <x:v>Costo directo por módulo</x:v>
      </x:c>
      <x:c r="E12" s="12" t="str">
        <x:v>Costo directo por módulo</x:v>
      </x:c>
      <x:c r="F12" s="12" t="str">
        <x:v>Costo directo por módulo</x:v>
      </x:c>
      <x:c r="G12" s="12" t="str">
        <x:v>Costo directo por módulo</x:v>
      </x:c>
      <x:c r="H12" s="12" t="str">
        <x:v>Costo directo por módulo</x:v>
      </x:c>
      <x:c r="I12" s="12" t="str">
        <x:v>Costo directo por módulo</x:v>
      </x:c>
      <x:c r="J12" s="12" t="str">
        <x:v>Costo directo por módulo</x:v>
      </x:c>
    </x:row>
    <x:row r="13" ht="28" customHeight="1">
      <x:c r="A13" s="18" t="str">
        <x:v>Módulo</x:v>
      </x:c>
      <x:c r="B13" s="18" t="str">
        <x:v>Costo directo</x:v>
      </x:c>
      <x:c r="C13" s="181"/>
      <x:c r="D13" s="181"/>
      <x:c r="E13" s="181"/>
      <x:c r="F13" s="181"/>
      <x:c r="G13" s="181"/>
      <x:c r="H13" s="181"/>
      <x:c r="I13" s="181"/>
      <x:c r="J13" s="181"/>
    </x:row>
    <x:row r="14">
      <x:c r="A14" s="133" t="str">
        <x:v>Descubrimiento</x:v>
      </x:c>
      <x:c r="B14" s="46" t="n">
        <x:f>SUMIF('Presupuesto'!$A$5:$A$34,A14,'Presupuesto'!$H$5:$H$34)</x:f>
        <x:v>6220</x:v>
      </x:c>
      <x:c r="C14" s="181"/>
      <x:c r="D14" s="181"/>
      <x:c r="E14" s="181"/>
      <x:c r="F14" s="181"/>
      <x:c r="G14" s="181"/>
      <x:c r="H14" s="181"/>
      <x:c r="I14" s="181"/>
      <x:c r="J14" s="181"/>
    </x:row>
    <x:row r="15">
      <x:c r="A15" s="133" t="str">
        <x:v>Fundaciones</x:v>
      </x:c>
      <x:c r="B15" s="46" t="n">
        <x:f>SUMIF('Presupuesto'!$A$5:$A$34,A15,'Presupuesto'!$H$5:$H$34)</x:f>
        <x:v>7980</x:v>
      </x:c>
      <x:c r="C15" s="181"/>
      <x:c r="D15" s="181"/>
      <x:c r="E15" s="181"/>
      <x:c r="F15" s="181"/>
      <x:c r="G15" s="181"/>
      <x:c r="H15" s="181"/>
      <x:c r="I15" s="181"/>
      <x:c r="J15" s="181"/>
    </x:row>
    <x:row r="16">
      <x:c r="A16" s="133" t="str">
        <x:v>Equipos</x:v>
      </x:c>
      <x:c r="B16" s="46" t="n">
        <x:f>SUMIF('Presupuesto'!$A$5:$A$34,A16,'Presupuesto'!$H$5:$H$34)</x:f>
        <x:v>16380</x:v>
      </x:c>
      <x:c r="C16" s="181"/>
      <x:c r="D16" s="181"/>
      <x:c r="E16" s="181"/>
      <x:c r="F16" s="181"/>
      <x:c r="G16" s="181"/>
      <x:c r="H16" s="181"/>
      <x:c r="I16" s="181"/>
      <x:c r="J16" s="181"/>
    </x:row>
    <x:row r="17">
      <x:c r="A17" s="133" t="str">
        <x:v>Convocatorias</x:v>
      </x:c>
      <x:c r="B17" s="46" t="n">
        <x:f>SUMIF('Presupuesto'!$A$5:$A$34,A17,'Presupuesto'!$H$5:$H$34)</x:f>
        <x:v>9480</x:v>
      </x:c>
      <x:c r="C17" s="181"/>
      <x:c r="D17" s="181"/>
      <x:c r="E17" s="181"/>
      <x:c r="F17" s="181"/>
      <x:c r="G17" s="181"/>
      <x:c r="H17" s="181"/>
      <x:c r="I17" s="181"/>
      <x:c r="J17" s="181"/>
    </x:row>
    <x:row r="18">
      <x:c r="A18" s="133" t="str">
        <x:v>Eventos</x:v>
      </x:c>
      <x:c r="B18" s="46" t="n">
        <x:f>SUMIF('Presupuesto'!$A$5:$A$34,A18,'Presupuesto'!$H$5:$H$34)</x:f>
        <x:v>12140</x:v>
      </x:c>
      <x:c r="C18" s="181"/>
      <x:c r="D18" s="181"/>
      <x:c r="E18" s="181"/>
      <x:c r="F18" s="181"/>
      <x:c r="G18" s="181"/>
      <x:c r="H18" s="181"/>
      <x:c r="I18" s="181"/>
      <x:c r="J18" s="181"/>
    </x:row>
    <x:row r="19">
      <x:c r="A19" s="133" t="str">
        <x:v>Administración</x:v>
      </x:c>
      <x:c r="B19" s="46" t="n">
        <x:f>SUMIF('Presupuesto'!$A$5:$A$34,A19,'Presupuesto'!$H$5:$H$34)</x:f>
        <x:v>8420</x:v>
      </x:c>
      <x:c r="C19" s="181"/>
      <x:c r="D19" s="181"/>
      <x:c r="E19" s="181"/>
      <x:c r="F19" s="181"/>
      <x:c r="G19" s="181"/>
      <x:c r="H19" s="181"/>
      <x:c r="I19" s="181"/>
      <x:c r="J19" s="181"/>
    </x:row>
    <x:row r="20">
      <x:c r="A20" s="133" t="str">
        <x:v>Calidad y cierre</x:v>
      </x:c>
      <x:c r="B20" s="46" t="n">
        <x:f>SUMIF('Presupuesto'!$A$5:$A$34,A20,'Presupuesto'!$H$5:$H$34)</x:f>
        <x:v>9700</x:v>
      </x:c>
      <x:c r="C20" s="181"/>
      <x:c r="D20" s="181"/>
      <x:c r="E20" s="181"/>
      <x:c r="F20" s="181"/>
      <x:c r="G20" s="181"/>
      <x:c r="H20" s="181"/>
      <x:c r="I20" s="181"/>
      <x:c r="J20" s="181"/>
    </x:row>
    <x:row r="21">
      <x:c r="A21" s="134" t="str">
        <x:v>Costos externos</x:v>
      </x:c>
      <x:c r="B21" s="47" t="n">
        <x:f>SUMIF('Presupuesto'!$A$5:$A$34,A21,'Presupuesto'!$H$5:$H$34)</x:f>
        <x:v>1600</x:v>
      </x:c>
      <x:c r="C21" s="181"/>
      <x:c r="D21" s="181"/>
      <x:c r="E21" s="181"/>
      <x:c r="F21" s="181"/>
      <x:c r="G21" s="181"/>
      <x:c r="H21" s="181"/>
      <x:c r="I21" s="181"/>
      <x:c r="J21" s="181"/>
    </x:row>
    <x:row r="22">
      <x:c r="A22" s="181"/>
      <x:c r="B22" s="181"/>
      <x:c r="C22" s="181"/>
      <x:c r="D22" s="181"/>
      <x:c r="E22" s="181"/>
      <x:c r="F22" s="181"/>
      <x:c r="G22" s="181"/>
      <x:c r="H22" s="181"/>
      <x:c r="I22" s="181"/>
      <x:c r="J22" s="181"/>
    </x:row>
    <x:row r="23">
      <x:c r="A23" s="181"/>
      <x:c r="B23" s="181"/>
      <x:c r="C23" s="181"/>
      <x:c r="D23" s="181"/>
      <x:c r="E23" s="181"/>
      <x:c r="F23" s="181"/>
      <x:c r="G23" s="181"/>
      <x:c r="H23" s="181"/>
      <x:c r="I23" s="181"/>
      <x:c r="J23" s="181"/>
    </x:row>
    <x:row r="24" ht="24" customHeight="1">
      <x:c r="A24" s="12" t="str">
        <x:v>Forma de pago referencial sobre el precio con IGV</x:v>
      </x:c>
      <x:c r="B24" s="12" t="str">
        <x:v>Forma de pago referencial sobre el precio con IGV</x:v>
      </x:c>
      <x:c r="C24" s="12" t="str">
        <x:v>Forma de pago referencial sobre el precio con IGV</x:v>
      </x:c>
      <x:c r="D24" s="12" t="str">
        <x:v>Forma de pago referencial sobre el precio con IGV</x:v>
      </x:c>
      <x:c r="E24" s="12" t="str">
        <x:v>Forma de pago referencial sobre el precio con IGV</x:v>
      </x:c>
      <x:c r="F24" s="12" t="str">
        <x:v>Forma de pago referencial sobre el precio con IGV</x:v>
      </x:c>
      <x:c r="G24" s="12" t="str">
        <x:v>Forma de pago referencial sobre el precio con IGV</x:v>
      </x:c>
      <x:c r="H24" s="12" t="str">
        <x:v>Forma de pago referencial sobre el precio con IGV</x:v>
      </x:c>
      <x:c r="I24" s="12" t="str">
        <x:v>Forma de pago referencial sobre el precio con IGV</x:v>
      </x:c>
      <x:c r="J24" s="12" t="str">
        <x:v>Forma de pago referencial sobre el precio con IGV</x:v>
      </x:c>
    </x:row>
    <x:row r="25" ht="22" customHeight="1">
      <x:c r="A25" s="18" t="str">
        <x:v>Hito</x:v>
      </x:c>
      <x:c r="B25" s="18" t="str">
        <x:v>%</x:v>
      </x:c>
      <x:c r="C25" s="18" t="str">
        <x:v>Monto</x:v>
      </x:c>
      <x:c r="D25" s="181"/>
      <x:c r="E25" s="182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F25" s="183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G25" s="183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H25" s="183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I25" s="183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J25" s="184" t="str">
        <x:v>Lectura del modelo
Costo directo: horas x tarifa + gastos externos.
Costo total: costo directo + gastos operativos + contingencia.
Precio: costo total dividido entre (1 - margen).
IGV: se añade al precio comercial redondeado.</x:v>
      </x:c>
    </x:row>
    <x:row r="26" ht="22" customHeight="1">
      <x:c r="A26" s="21" t="str">
        <x:v>Inicio</x:v>
      </x:c>
      <x:c r="B26" s="135" t="n">
        <x:f>'Parámetros'!$B$22</x:f>
        <x:v>0.4</x:v>
      </x:c>
      <x:c r="C26" s="46" t="n">
        <x:f>'Escenarios'!$C$13*B26</x:f>
        <x:v>54752</x:v>
      </x:c>
      <x:c r="D26" s="181"/>
      <x:c r="E26" s="185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F26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G26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H26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I26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J26" s="187" t="str">
        <x:v>Lectura del modelo
Costo directo: horas x tarifa + gastos externos.
Costo total: costo directo + gastos operativos + contingencia.
Precio: costo total dividido entre (1 - margen).
IGV: se añade al precio comercial redondeado.</x:v>
      </x:c>
    </x:row>
    <x:row r="27" ht="22" customHeight="1">
      <x:c r="A27" s="21" t="str">
        <x:v>Inicio de UAT</x:v>
      </x:c>
      <x:c r="B27" s="135" t="n">
        <x:f>'Parámetros'!$B$23</x:f>
        <x:v>0.3</x:v>
      </x:c>
      <x:c r="C27" s="46" t="n">
        <x:f>'Escenarios'!$C$13*B27</x:f>
        <x:v>41064</x:v>
      </x:c>
      <x:c r="D27" s="181"/>
      <x:c r="E27" s="185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F27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G27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H27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I27" s="186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J27" s="187" t="str">
        <x:v>Lectura del modelo
Costo directo: horas x tarifa + gastos externos.
Costo total: costo directo + gastos operativos + contingencia.
Precio: costo total dividido entre (1 - margen).
IGV: se añade al precio comercial redondeado.</x:v>
      </x:c>
    </x:row>
    <x:row r="28" ht="22" customHeight="1">
      <x:c r="A28" s="22" t="str">
        <x:v>Entrega y capacitación</x:v>
      </x:c>
      <x:c r="B28" s="136" t="n">
        <x:f>'Parámetros'!$B$24</x:f>
        <x:v>0.3</x:v>
      </x:c>
      <x:c r="C28" s="47" t="n">
        <x:f>'Escenarios'!$C$13*B28</x:f>
        <x:v>41064</x:v>
      </x:c>
      <x:c r="D28" s="181"/>
      <x:c r="E28" s="188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F28" s="189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G28" s="189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H28" s="189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I28" s="189" t="str">
        <x:v>Lectura del modelo
Costo directo: horas x tarifa + gastos externos.
Costo total: costo directo + gastos operativos + contingencia.
Precio: costo total dividido entre (1 - margen).
IGV: se añade al precio comercial redondeado.</x:v>
      </x:c>
      <x:c r="J28" s="190" t="str">
        <x:v>Lectura del modelo
Costo directo: horas x tarifa + gastos externos.
Costo total: costo directo + gastos operativos + contingencia.
Precio: costo total dividido entre (1 - margen).
IGV: se añade al precio comercial redondeado.</x:v>
      </x:c>
    </x:row>
    <x:row r="29">
      <x:c r="A29" s="181"/>
      <x:c r="B29" s="181"/>
      <x:c r="C29" s="181"/>
      <x:c r="D29" s="181"/>
      <x:c r="E29" s="181"/>
      <x:c r="F29" s="181"/>
      <x:c r="G29" s="181"/>
      <x:c r="H29" s="181"/>
      <x:c r="I29" s="181"/>
      <x:c r="J29" s="181"/>
    </x:row>
    <x:row r="30">
      <x:c r="A30" s="181"/>
      <x:c r="B30" s="181"/>
      <x:c r="C30" s="181"/>
      <x:c r="D30" s="181"/>
      <x:c r="E30" s="181"/>
      <x:c r="F30" s="181"/>
      <x:c r="G30" s="181"/>
      <x:c r="H30" s="181"/>
      <x:c r="I30" s="181"/>
      <x:c r="J30" s="181"/>
    </x:row>
    <x:row r="31" ht="24" customHeight="1">
      <x:c r="A31" s="12" t="str">
        <x:v>Rango de referencia</x:v>
      </x:c>
      <x:c r="B31" s="12" t="str">
        <x:v>Rango de referencia</x:v>
      </x:c>
      <x:c r="C31" s="12" t="str">
        <x:v>Rango de referencia</x:v>
      </x:c>
      <x:c r="D31" s="12" t="str">
        <x:v>Rango de referencia</x:v>
      </x:c>
      <x:c r="E31" s="12" t="str">
        <x:v>Rango de referencia</x:v>
      </x:c>
      <x:c r="F31" s="12" t="str">
        <x:v>Rango de referencia</x:v>
      </x:c>
      <x:c r="G31" s="12" t="str">
        <x:v>Rango de referencia</x:v>
      </x:c>
      <x:c r="H31" s="12" t="str">
        <x:v>Rango de referencia</x:v>
      </x:c>
      <x:c r="I31" s="12" t="str">
        <x:v>Rango de referencia</x:v>
      </x:c>
      <x:c r="J31" s="12" t="str">
        <x:v>Rango de referencia</x:v>
      </x:c>
    </x:row>
    <x:row r="32" ht="28" customHeight="1">
      <x:c r="A32" s="18" t="str">
        <x:v>Escenario</x:v>
      </x:c>
      <x:c r="B32" s="18" t="str">
        <x:v>Sin IGV</x:v>
      </x:c>
      <x:c r="C32" s="18" t="str">
        <x:v>Con IGV</x:v>
      </x:c>
      <x:c r="D32" s="18" t="str">
        <x:v>Cuándo usarlo</x:v>
      </x:c>
      <x:c r="E32" s="181"/>
      <x:c r="F32" s="181"/>
      <x:c r="G32" s="181"/>
      <x:c r="H32" s="181"/>
      <x:c r="I32" s="181"/>
      <x:c r="J32" s="181"/>
    </x:row>
    <x:row r="33" ht="32" customHeight="1">
      <x:c r="A33" s="21" t="str">
        <x:v>Mínimo</x:v>
      </x:c>
      <x:c r="B33" s="46" t="n">
        <x:f>'Escenarios'!$B$12</x:f>
        <x:v>98500</x:v>
      </x:c>
      <x:c r="C33" s="46" t="n">
        <x:f>'Escenarios'!$B$13</x:f>
        <x:v>116230</x:v>
      </x:c>
      <x:c r="D33" s="29" t="str">
        <x:v>Solo si el alcance está estable y el riesgo es bajo.</x:v>
      </x:c>
      <x:c r="E33" s="181"/>
      <x:c r="F33" s="181"/>
      <x:c r="G33" s="181"/>
      <x:c r="H33" s="181"/>
      <x:c r="I33" s="181"/>
      <x:c r="J33" s="181"/>
    </x:row>
    <x:row r="34" ht="32" customHeight="1">
      <x:c r="A34" s="166" t="str">
        <x:v>Recomendado</x:v>
      </x:c>
      <x:c r="B34" s="66" t="n">
        <x:f>'Escenarios'!$C$12</x:f>
        <x:v>116000</x:v>
      </x:c>
      <x:c r="C34" s="66" t="n">
        <x:f>'Escenarios'!$C$13</x:f>
        <x:v>136880</x:v>
      </x:c>
      <x:c r="D34" s="167" t="str">
        <x:v>Base sugerida para preparar la propuesta.</x:v>
      </x:c>
      <x:c r="E34" s="181"/>
      <x:c r="F34" s="181"/>
      <x:c r="G34" s="181"/>
      <x:c r="H34" s="181"/>
      <x:c r="I34" s="181"/>
      <x:c r="J34" s="181"/>
    </x:row>
    <x:row r="35" ht="38" customHeight="1">
      <x:c r="A35" s="22" t="str">
        <x:v>Con reserva</x:v>
      </x:c>
      <x:c r="B35" s="47" t="n">
        <x:f>'Escenarios'!$D$12</x:f>
        <x:v>141000</x:v>
      </x:c>
      <x:c r="C35" s="47" t="n">
        <x:f>'Escenarios'!$D$13</x:f>
        <x:v>166380</x:v>
      </x:c>
      <x:c r="D35" s="30" t="str">
        <x:v>Si quedan dependencias, integraciones o cambios por cerrar.</x:v>
      </x:c>
      <x:c r="E35" s="181"/>
      <x:c r="F35" s="181"/>
      <x:c r="G35" s="181"/>
      <x:c r="H35" s="181"/>
      <x:c r="I35" s="181"/>
      <x:c r="J35" s="181"/>
    </x:row>
  </x:sheetData>
  <x:mergeCells>
    <x:mergeCell ref="A1:J1"/>
    <x:mergeCell ref="A2:J2"/>
    <x:mergeCell ref="A3:J3"/>
    <x:mergeCell ref="A5:B5"/>
    <x:mergeCell ref="A6:B6"/>
    <x:mergeCell ref="D5:E5"/>
    <x:mergeCell ref="D6:E6"/>
    <x:mergeCell ref="G5:H5"/>
    <x:mergeCell ref="G6:H6"/>
    <x:mergeCell ref="A8:B8"/>
    <x:mergeCell ref="A9:B9"/>
    <x:mergeCell ref="D8:E8"/>
    <x:mergeCell ref="D9:E9"/>
    <x:mergeCell ref="G8:H8"/>
    <x:mergeCell ref="G9:H9"/>
    <x:mergeCell ref="A12:J12"/>
    <x:mergeCell ref="A24:J24"/>
    <x:mergeCell ref="E25:J28"/>
    <x:mergeCell ref="A31:J31"/>
  </x:mergeCells>
  <x:pageMargins left="0.7" right="0.7" top="0.75" bottom="0.75" header="0.3" footer="0.3"/>
  <x:drawing xmlns:r="http://schemas.openxmlformats.org/officeDocument/2006/relationships" r:id="Rbd6658b2991d423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24" hidden="0" customWidth="1"/>
    <x:col min="4" max="4" width="1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2" t="str">
        <x:v>Presupuesto base por módulo</x:v>
      </x:c>
      <x:c r="B1" s="42" t="str">
        <x:v>Presupuesto base por módulo</x:v>
      </x:c>
      <x:c r="C1" s="42" t="str">
        <x:v>Presupuesto base por módulo</x:v>
      </x:c>
      <x:c r="D1" s="42" t="str">
        <x:v>Presupuesto base por módulo</x:v>
      </x:c>
      <x:c r="E1" s="42" t="str">
        <x:v>Presupuesto base por módulo</x:v>
      </x:c>
      <x:c r="F1" s="42" t="str">
        <x:v>Presupuesto base por módulo</x:v>
      </x:c>
      <x:c r="G1" s="42" t="str">
        <x:v>Presupuesto base por módulo</x:v>
      </x:c>
      <x:c r="H1" s="42" t="str">
        <x:v>Presupuesto base por módulo</x:v>
      </x:c>
    </x:row>
    <x:row r="2">
      <x:c r="A2" s="191" t="str">
        <x:v>Las horas y costos externos son supuestos editables. Las tarifas provienen de la hoja Parámetros.</x:v>
      </x:c>
      <x:c r="B2" s="191" t="str">
        <x:v>Las horas y costos externos son supuestos editables. Las tarifas provienen de la hoja Parámetros.</x:v>
      </x:c>
      <x:c r="C2" s="191" t="str">
        <x:v>Las horas y costos externos son supuestos editables. Las tarifas provienen de la hoja Parámetros.</x:v>
      </x:c>
      <x:c r="D2" s="191" t="str">
        <x:v>Las horas y costos externos son supuestos editables. Las tarifas provienen de la hoja Parámetros.</x:v>
      </x:c>
      <x:c r="E2" s="191" t="str">
        <x:v>Las horas y costos externos son supuestos editables. Las tarifas provienen de la hoja Parámetros.</x:v>
      </x:c>
      <x:c r="F2" s="191" t="str">
        <x:v>Las horas y costos externos son supuestos editables. Las tarifas provienen de la hoja Parámetros.</x:v>
      </x:c>
      <x:c r="G2" s="191" t="str">
        <x:v>Las horas y costos externos son supuestos editables. Las tarifas provienen de la hoja Parámetros.</x:v>
      </x:c>
      <x:c r="H2" s="191" t="str">
        <x:v>Las horas y costos externos son supuestos editables. Las tarifas provienen de la hoja Parámetros.</x:v>
      </x:c>
    </x:row>
    <x:row r="3">
      <x:c r="A3" s="181"/>
      <x:c r="B3" s="181"/>
      <x:c r="C3" s="181"/>
      <x:c r="D3" s="181"/>
      <x:c r="E3" s="181"/>
      <x:c r="F3" s="181"/>
      <x:c r="G3" s="181"/>
      <x:c r="H3" s="181"/>
    </x:row>
    <x:row r="4" ht="28" customHeight="1">
      <x:c r="A4" s="18" t="str">
        <x:v>Módulo</x:v>
      </x:c>
      <x:c r="B4" s="18" t="str">
        <x:v>Actividad</x:v>
      </x:c>
      <x:c r="C4" s="18" t="str">
        <x:v>Rol</x:v>
      </x:c>
      <x:c r="D4" s="18" t="str">
        <x:v>Horas</x:v>
      </x:c>
      <x:c r="E4" s="18" t="str">
        <x:v>Tarifa/hora</x:v>
      </x:c>
      <x:c r="F4" s="18" t="str">
        <x:v>Costo de trabajo</x:v>
      </x:c>
      <x:c r="G4" s="18" t="str">
        <x:v>Costo externo</x:v>
      </x:c>
      <x:c r="H4" s="18" t="str">
        <x:v>Costo directo</x:v>
      </x:c>
    </x:row>
    <x:row r="5" ht="34" customHeight="1">
      <x:c r="A5" s="29" t="str">
        <x:v>Descubrimiento</x:v>
      </x:c>
      <x:c r="B5" s="29" t="str">
        <x:v>Alineamiento final del alcance y planificación inicial en Jira</x:v>
      </x:c>
      <x:c r="C5" s="29" t="str">
        <x:v>Producto / PM</x:v>
      </x:c>
      <x:c r="D5" s="49" t="n">
        <x:v>24</x:v>
      </x:c>
      <x:c r="E5" s="50" t="n">
        <x:f>'Parámetros'!$B$6</x:f>
        <x:v>75</x:v>
      </x:c>
      <x:c r="F5" s="50" t="n">
        <x:f>D5*E5</x:f>
        <x:v>1800</x:v>
      </x:c>
      <x:c r="G5" s="51" t="n">
        <x:v>0</x:v>
      </x:c>
      <x:c r="H5" s="50" t="n">
        <x:f>F5+G5</x:f>
        <x:v>1800</x:v>
      </x:c>
    </x:row>
    <x:row r="6" ht="34" customHeight="1">
      <x:c r="A6" s="29" t="str">
        <x:v>Descubrimiento</x:v>
      </x:c>
      <x:c r="B6" s="29" t="str">
        <x:v>Diseño de flujos y experiencia responsive</x:v>
      </x:c>
      <x:c r="C6" s="29" t="str">
        <x:v>UX / UI</x:v>
      </x:c>
      <x:c r="D6" s="49" t="n">
        <x:v>36</x:v>
      </x:c>
      <x:c r="E6" s="50" t="n">
        <x:f>'Parámetros'!$B$7</x:f>
        <x:v>70</x:v>
      </x:c>
      <x:c r="F6" s="50" t="n">
        <x:f>D6*E6</x:f>
        <x:v>2520</x:v>
      </x:c>
      <x:c r="G6" s="51" t="n">
        <x:v>0</x:v>
      </x:c>
      <x:c r="H6" s="50" t="n">
        <x:f>F6+G6</x:f>
        <x:v>2520</x:v>
      </x:c>
    </x:row>
    <x:row r="7" ht="34" customHeight="1">
      <x:c r="A7" s="29" t="str">
        <x:v>Descubrimiento</x:v>
      </x:c>
      <x:c r="B7" s="29" t="str">
        <x:v>Arquitectura técnica y estrategia de integración</x:v>
      </x:c>
      <x:c r="C7" s="29" t="str">
        <x:v>Backend / Base de datos</x:v>
      </x:c>
      <x:c r="D7" s="49" t="n">
        <x:v>20</x:v>
      </x:c>
      <x:c r="E7" s="50" t="n">
        <x:f>'Parámetros'!$B$9</x:f>
        <x:v>95</x:v>
      </x:c>
      <x:c r="F7" s="50" t="n">
        <x:f>D7*E7</x:f>
        <x:v>1900</x:v>
      </x:c>
      <x:c r="G7" s="51" t="n">
        <x:v>0</x:v>
      </x:c>
      <x:c r="H7" s="50" t="n">
        <x:f>F7+G7</x:f>
        <x:v>1900</x:v>
      </x:c>
    </x:row>
    <x:row r="8" ht="34" customHeight="1">
      <x:c r="A8" s="29" t="str">
        <x:v>Fundaciones</x:v>
      </x:c>
      <x:c r="B8" s="29" t="str">
        <x:v>Modelo de equipos, membresías, roles e invitaciones</x:v>
      </x:c>
      <x:c r="C8" s="29" t="str">
        <x:v>Backend / Base de datos</x:v>
      </x:c>
      <x:c r="D8" s="49" t="n">
        <x:v>40</x:v>
      </x:c>
      <x:c r="E8" s="50" t="n">
        <x:f>'Parámetros'!$B$9</x:f>
        <x:v>95</x:v>
      </x:c>
      <x:c r="F8" s="50" t="n">
        <x:f>D8*E8</x:f>
        <x:v>3800</x:v>
      </x:c>
      <x:c r="G8" s="51" t="n">
        <x:v>0</x:v>
      </x:c>
      <x:c r="H8" s="50" t="n">
        <x:f>F8+G8</x:f>
        <x:v>3800</x:v>
      </x:c>
    </x:row>
    <x:row r="9" ht="34" customHeight="1">
      <x:c r="A9" s="29" t="str">
        <x:v>Fundaciones</x:v>
      </x:c>
      <x:c r="B9" s="29" t="str">
        <x:v>Permisos, seguridad, auditoría y políticas de acceso</x:v>
      </x:c>
      <x:c r="C9" s="29" t="str">
        <x:v>Backend / Base de datos</x:v>
      </x:c>
      <x:c r="D9" s="49" t="n">
        <x:v>28</x:v>
      </x:c>
      <x:c r="E9" s="50" t="n">
        <x:f>'Parámetros'!$B$9</x:f>
        <x:v>95</x:v>
      </x:c>
      <x:c r="F9" s="50" t="n">
        <x:f>D9*E9</x:f>
        <x:v>2660</x:v>
      </x:c>
      <x:c r="G9" s="51" t="n">
        <x:v>0</x:v>
      </x:c>
      <x:c r="H9" s="50" t="n">
        <x:f>F9+G9</x:f>
        <x:v>2660</x:v>
      </x:c>
    </x:row>
    <x:row r="10" ht="34" customHeight="1">
      <x:c r="A10" s="29" t="str">
        <x:v>Fundaciones</x:v>
      </x:c>
      <x:c r="B10" s="29" t="str">
        <x:v>Slugs, almacenamiento y validación de imágenes</x:v>
      </x:c>
      <x:c r="C10" s="29" t="str">
        <x:v>Backend / Base de datos</x:v>
      </x:c>
      <x:c r="D10" s="49" t="n">
        <x:v>16</x:v>
      </x:c>
      <x:c r="E10" s="50" t="n">
        <x:f>'Parámetros'!$B$9</x:f>
        <x:v>95</x:v>
      </x:c>
      <x:c r="F10" s="50" t="n">
        <x:f>D10*E10</x:f>
        <x:v>1520</x:v>
      </x:c>
      <x:c r="G10" s="51" t="n">
        <x:v>0</x:v>
      </x:c>
      <x:c r="H10" s="50" t="n">
        <x:f>F10+G10</x:f>
        <x:v>1520</x:v>
      </x:c>
    </x:row>
    <x:row r="11" ht="34" customHeight="1">
      <x:c r="A11" s="29" t="str">
        <x:v>Equipos</x:v>
      </x:c>
      <x:c r="B11" s="29" t="str">
        <x:v>Crear/editar equipo, Mis equipos y accesos de navbar</x:v>
      </x:c>
      <x:c r="C11" s="29" t="str">
        <x:v>Frontend</x:v>
      </x:c>
      <x:c r="D11" s="49" t="n">
        <x:v>56</x:v>
      </x:c>
      <x:c r="E11" s="50" t="n">
        <x:f>'Parámetros'!$B$8</x:f>
        <x:v>85</x:v>
      </x:c>
      <x:c r="F11" s="50" t="n">
        <x:f>D11*E11</x:f>
        <x:v>4760</x:v>
      </x:c>
      <x:c r="G11" s="51" t="n">
        <x:v>0</x:v>
      </x:c>
      <x:c r="H11" s="50" t="n">
        <x:f>F11+G11</x:f>
        <x:v>4760</x:v>
      </x:c>
    </x:row>
    <x:row r="12" ht="34" customHeight="1">
      <x:c r="A12" s="29" t="str">
        <x:v>Equipos</x:v>
      </x:c>
      <x:c r="B12" s="29" t="str">
        <x:v>Perfil público y equipo destacado</x:v>
      </x:c>
      <x:c r="C12" s="29" t="str">
        <x:v>Frontend</x:v>
      </x:c>
      <x:c r="D12" s="49" t="n">
        <x:v>40</x:v>
      </x:c>
      <x:c r="E12" s="50" t="n">
        <x:f>'Parámetros'!$B$8</x:f>
        <x:v>85</x:v>
      </x:c>
      <x:c r="F12" s="50" t="n">
        <x:f>D12*E12</x:f>
        <x:v>3400</x:v>
      </x:c>
      <x:c r="G12" s="51" t="n">
        <x:v>0</x:v>
      </x:c>
      <x:c r="H12" s="50" t="n">
        <x:f>F12+G12</x:f>
        <x:v>3400</x:v>
      </x:c>
    </x:row>
    <x:row r="13" ht="34" customHeight="1">
      <x:c r="A13" s="29" t="str">
        <x:v>Equipos</x:v>
      </x:c>
      <x:c r="B13" s="29" t="str">
        <x:v>Operaciones backend de membresía, límites y archivo</x:v>
      </x:c>
      <x:c r="C13" s="29" t="str">
        <x:v>Backend / Base de datos</x:v>
      </x:c>
      <x:c r="D13" s="49" t="n">
        <x:v>40</x:v>
      </x:c>
      <x:c r="E13" s="50" t="n">
        <x:f>'Parámetros'!$B$9</x:f>
        <x:v>95</x:v>
      </x:c>
      <x:c r="F13" s="50" t="n">
        <x:f>D13*E13</x:f>
        <x:v>3800</x:v>
      </x:c>
      <x:c r="G13" s="51" t="n">
        <x:v>0</x:v>
      </x:c>
      <x:c r="H13" s="50" t="n">
        <x:f>F13+G13</x:f>
        <x:v>3800</x:v>
      </x:c>
    </x:row>
    <x:row r="14" ht="34" customHeight="1">
      <x:c r="A14" s="29" t="str">
        <x:v>Equipos</x:v>
      </x:c>
      <x:c r="B14" s="29" t="str">
        <x:v>Acciones de capitana y transferencia de capitanía</x:v>
      </x:c>
      <x:c r="C14" s="29" t="str">
        <x:v>Frontend</x:v>
      </x:c>
      <x:c r="D14" s="49" t="n">
        <x:v>52</x:v>
      </x:c>
      <x:c r="E14" s="50" t="n">
        <x:f>'Parámetros'!$B$8</x:f>
        <x:v>85</x:v>
      </x:c>
      <x:c r="F14" s="50" t="n">
        <x:f>D14*E14</x:f>
        <x:v>4420</x:v>
      </x:c>
      <x:c r="G14" s="51" t="n">
        <x:v>0</x:v>
      </x:c>
      <x:c r="H14" s="50" t="n">
        <x:f>F14+G14</x:f>
        <x:v>4420</x:v>
      </x:c>
    </x:row>
    <x:row r="15" ht="34" customHeight="1">
      <x:c r="A15" s="29" t="str">
        <x:v>Convocatorias</x:v>
      </x:c>
      <x:c r="B15" s="29" t="str">
        <x:v>Estados, historial, aceptación y rechazo</x:v>
      </x:c>
      <x:c r="C15" s="29" t="str">
        <x:v>Backend / Base de datos</x:v>
      </x:c>
      <x:c r="D15" s="49" t="n">
        <x:v>40</x:v>
      </x:c>
      <x:c r="E15" s="50" t="n">
        <x:f>'Parámetros'!$B$9</x:f>
        <x:v>95</x:v>
      </x:c>
      <x:c r="F15" s="50" t="n">
        <x:f>D15*E15</x:f>
        <x:v>3800</x:v>
      </x:c>
      <x:c r="G15" s="51" t="n">
        <x:v>0</x:v>
      </x:c>
      <x:c r="H15" s="50" t="n">
        <x:f>F15+G15</x:f>
        <x:v>3800</x:v>
      </x:c>
    </x:row>
    <x:row r="16" ht="34" customHeight="1">
      <x:c r="A16" s="29" t="str">
        <x:v>Convocatorias</x:v>
      </x:c>
      <x:c r="B16" s="29" t="str">
        <x:v>UI de convocatorias y retorno después de login/registro</x:v>
      </x:c>
      <x:c r="C16" s="29" t="str">
        <x:v>Frontend</x:v>
      </x:c>
      <x:c r="D16" s="49" t="n">
        <x:v>40</x:v>
      </x:c>
      <x:c r="E16" s="50" t="n">
        <x:f>'Parámetros'!$B$8</x:f>
        <x:v>85</x:v>
      </x:c>
      <x:c r="F16" s="50" t="n">
        <x:f>D16*E16</x:f>
        <x:v>3400</x:v>
      </x:c>
      <x:c r="G16" s="51" t="n">
        <x:v>0</x:v>
      </x:c>
      <x:c r="H16" s="50" t="n">
        <x:f>F16+G16</x:f>
        <x:v>3400</x:v>
      </x:c>
    </x:row>
    <x:row r="17" ht="34" customHeight="1">
      <x:c r="A17" s="29" t="str">
        <x:v>Convocatorias</x:v>
      </x:c>
      <x:c r="B17" s="29" t="str">
        <x:v>Emails, plantillas y trazabilidad de entrega</x:v>
      </x:c>
      <x:c r="C17" s="29" t="str">
        <x:v>Backend / Base de datos</x:v>
      </x:c>
      <x:c r="D17" s="49" t="n">
        <x:v>24</x:v>
      </x:c>
      <x:c r="E17" s="50" t="n">
        <x:f>'Parámetros'!$B$9</x:f>
        <x:v>95</x:v>
      </x:c>
      <x:c r="F17" s="50" t="n">
        <x:f>D17*E17</x:f>
        <x:v>2280</x:v>
      </x:c>
      <x:c r="G17" s="51" t="n">
        <x:v>0</x:v>
      </x:c>
      <x:c r="H17" s="50" t="n">
        <x:f>F17+G17</x:f>
        <x:v>2280</x:v>
      </x:c>
    </x:row>
    <x:row r="18" ht="34" customHeight="1">
      <x:c r="A18" s="29" t="str">
        <x:v>Eventos</x:v>
      </x:c>
      <x:c r="B18" s="29" t="str">
        <x:v>Configuración de precio por jugadora o por equipo</x:v>
      </x:c>
      <x:c r="C18" s="29" t="str">
        <x:v>Backend / Base de datos</x:v>
      </x:c>
      <x:c r="D18" s="49" t="n">
        <x:v>20</x:v>
      </x:c>
      <x:c r="E18" s="50" t="n">
        <x:f>'Parámetros'!$B$9</x:f>
        <x:v>95</x:v>
      </x:c>
      <x:c r="F18" s="50" t="n">
        <x:f>D18*E18</x:f>
        <x:v>1900</x:v>
      </x:c>
      <x:c r="G18" s="51" t="n">
        <x:v>0</x:v>
      </x:c>
      <x:c r="H18" s="50" t="n">
        <x:f>F18+G18</x:f>
        <x:v>1900</x:v>
      </x:c>
    </x:row>
    <x:row r="19" ht="34" customHeight="1">
      <x:c r="A19" s="29" t="str">
        <x:v>Eventos</x:v>
      </x:c>
      <x:c r="B19" s="29" t="str">
        <x:v>Selector de equipo, participantes, contador y validación</x:v>
      </x:c>
      <x:c r="C19" s="29" t="str">
        <x:v>Frontend</x:v>
      </x:c>
      <x:c r="D19" s="49" t="n">
        <x:v>40</x:v>
      </x:c>
      <x:c r="E19" s="50" t="n">
        <x:f>'Parámetros'!$B$8</x:f>
        <x:v>85</x:v>
      </x:c>
      <x:c r="F19" s="50" t="n">
        <x:f>D19*E19</x:f>
        <x:v>3400</x:v>
      </x:c>
      <x:c r="G19" s="51" t="n">
        <x:v>0</x:v>
      </x:c>
      <x:c r="H19" s="50" t="n">
        <x:f>F19+G19</x:f>
        <x:v>3400</x:v>
      </x:c>
    </x:row>
    <x:row r="20" ht="34" customHeight="1">
      <x:c r="A20" s="29" t="str">
        <x:v>Eventos</x:v>
      </x:c>
      <x:c r="B20" s="29" t="str">
        <x:v>Inscripción grupal y relación con pagos/asistentes</x:v>
      </x:c>
      <x:c r="C20" s="29" t="str">
        <x:v>Backend / Base de datos</x:v>
      </x:c>
      <x:c r="D20" s="49" t="n">
        <x:v>48</x:v>
      </x:c>
      <x:c r="E20" s="50" t="n">
        <x:f>'Parámetros'!$B$9</x:f>
        <x:v>95</x:v>
      </x:c>
      <x:c r="F20" s="50" t="n">
        <x:f>D20*E20</x:f>
        <x:v>4560</x:v>
      </x:c>
      <x:c r="G20" s="51" t="n">
        <x:v>0</x:v>
      </x:c>
      <x:c r="H20" s="50" t="n">
        <x:f>F20+G20</x:f>
        <x:v>4560</x:v>
      </x:c>
    </x:row>
    <x:row r="21" ht="34" customHeight="1">
      <x:c r="A21" s="29" t="str">
        <x:v>Eventos</x:v>
      </x:c>
      <x:c r="B21" s="29" t="str">
        <x:v>Cancelación grupal y revocación de entradas</x:v>
      </x:c>
      <x:c r="C21" s="29" t="str">
        <x:v>Backend / Base de datos</x:v>
      </x:c>
      <x:c r="D21" s="49" t="n">
        <x:v>24</x:v>
      </x:c>
      <x:c r="E21" s="50" t="n">
        <x:f>'Parámetros'!$B$9</x:f>
        <x:v>95</x:v>
      </x:c>
      <x:c r="F21" s="50" t="n">
        <x:f>D21*E21</x:f>
        <x:v>2280</x:v>
      </x:c>
      <x:c r="G21" s="51" t="n">
        <x:v>0</x:v>
      </x:c>
      <x:c r="H21" s="50" t="n">
        <x:f>F21+G21</x:f>
        <x:v>2280</x:v>
      </x:c>
    </x:row>
    <x:row r="22" ht="34" customHeight="1">
      <x:c r="A22" s="29" t="str">
        <x:v>Administración</x:v>
      </x:c>
      <x:c r="B22" s="29" t="str">
        <x:v>Detalle de pagos grupales y participantes</x:v>
      </x:c>
      <x:c r="C22" s="29" t="str">
        <x:v>Frontend</x:v>
      </x:c>
      <x:c r="D22" s="49" t="n">
        <x:v>32</x:v>
      </x:c>
      <x:c r="E22" s="50" t="n">
        <x:f>'Parámetros'!$B$8</x:f>
        <x:v>85</x:v>
      </x:c>
      <x:c r="F22" s="50" t="n">
        <x:f>D22*E22</x:f>
        <x:v>2720</x:v>
      </x:c>
      <x:c r="G22" s="51" t="n">
        <x:v>0</x:v>
      </x:c>
      <x:c r="H22" s="50" t="n">
        <x:f>F22+G22</x:f>
        <x:v>2720</x:v>
      </x:c>
    </x:row>
    <x:row r="23" ht="34" customHeight="1">
      <x:c r="A23" s="29" t="str">
        <x:v>Administración</x:v>
      </x:c>
      <x:c r="B23" s="29" t="str">
        <x:v>Aprobación, rechazo, estados y notificaciones</x:v>
      </x:c>
      <x:c r="C23" s="29" t="str">
        <x:v>Backend / Base de datos</x:v>
      </x:c>
      <x:c r="D23" s="49" t="n">
        <x:v>32</x:v>
      </x:c>
      <x:c r="E23" s="50" t="n">
        <x:f>'Parámetros'!$B$9</x:f>
        <x:v>95</x:v>
      </x:c>
      <x:c r="F23" s="50" t="n">
        <x:f>D23*E23</x:f>
        <x:v>3040</x:v>
      </x:c>
      <x:c r="G23" s="51" t="n">
        <x:v>0</x:v>
      </x:c>
      <x:c r="H23" s="50" t="n">
        <x:f>F23+G23</x:f>
        <x:v>3040</x:v>
      </x:c>
    </x:row>
    <x:row r="24" ht="34" customHeight="1">
      <x:c r="A24" s="29" t="str">
        <x:v>Administración</x:v>
      </x:c>
      <x:c r="B24" s="29" t="str">
        <x:v>Generación individual de QR y equipo en lista del evento</x:v>
      </x:c>
      <x:c r="C24" s="29" t="str">
        <x:v>Backend / Base de datos</x:v>
      </x:c>
      <x:c r="D24" s="49" t="n">
        <x:v>28</x:v>
      </x:c>
      <x:c r="E24" s="50" t="n">
        <x:f>'Parámetros'!$B$9</x:f>
        <x:v>95</x:v>
      </x:c>
      <x:c r="F24" s="50" t="n">
        <x:f>D24*E24</x:f>
        <x:v>2660</x:v>
      </x:c>
      <x:c r="G24" s="51" t="n">
        <x:v>0</x:v>
      </x:c>
      <x:c r="H24" s="50" t="n">
        <x:f>F24+G24</x:f>
        <x:v>2660</x:v>
      </x:c>
    </x:row>
    <x:row r="25" ht="34" customHeight="1">
      <x:c r="A25" s="29" t="str">
        <x:v>Calidad y cierre</x:v>
      </x:c>
      <x:c r="B25" s="29" t="str">
        <x:v>Pruebas funcionales, regresión y responsive</x:v>
      </x:c>
      <x:c r="C25" s="29" t="str">
        <x:v>QA</x:v>
      </x:c>
      <x:c r="D25" s="49" t="n">
        <x:v>56</x:v>
      </x:c>
      <x:c r="E25" s="50" t="n">
        <x:f>'Parámetros'!$B$10</x:f>
        <x:v>60</x:v>
      </x:c>
      <x:c r="F25" s="50" t="n">
        <x:f>D25*E25</x:f>
        <x:v>3360</x:v>
      </x:c>
      <x:c r="G25" s="51" t="n">
        <x:v>0</x:v>
      </x:c>
      <x:c r="H25" s="50" t="n">
        <x:f>F25+G25</x:f>
        <x:v>3360</x:v>
      </x:c>
    </x:row>
    <x:row r="26" ht="34" customHeight="1">
      <x:c r="A26" s="29" t="str">
        <x:v>Calidad y cierre</x:v>
      </x:c>
      <x:c r="B26" s="29" t="str">
        <x:v>Coordinación, UAT y seguimiento de incidencias</x:v>
      </x:c>
      <x:c r="C26" s="29" t="str">
        <x:v>Producto / PM</x:v>
      </x:c>
      <x:c r="D26" s="49" t="n">
        <x:v>32</x:v>
      </x:c>
      <x:c r="E26" s="50" t="n">
        <x:f>'Parámetros'!$B$6</x:f>
        <x:v>75</x:v>
      </x:c>
      <x:c r="F26" s="50" t="n">
        <x:f>D26*E26</x:f>
        <x:v>2400</x:v>
      </x:c>
      <x:c r="G26" s="51" t="n">
        <x:v>0</x:v>
      </x:c>
      <x:c r="H26" s="50" t="n">
        <x:f>F26+G26</x:f>
        <x:v>2400</x:v>
      </x:c>
    </x:row>
    <x:row r="27" ht="34" customHeight="1">
      <x:c r="A27" s="29" t="str">
        <x:v>Calidad y cierre</x:v>
      </x:c>
      <x:c r="B27" s="29" t="str">
        <x:v>Despliegue, variables, monitoreo y soporte de salida</x:v>
      </x:c>
      <x:c r="C27" s="29" t="str">
        <x:v>DevOps</x:v>
      </x:c>
      <x:c r="D27" s="49" t="n">
        <x:v>16</x:v>
      </x:c>
      <x:c r="E27" s="50" t="n">
        <x:f>'Parámetros'!$B$11</x:f>
        <x:v>90</x:v>
      </x:c>
      <x:c r="F27" s="50" t="n">
        <x:f>D27*E27</x:f>
        <x:v>1440</x:v>
      </x:c>
      <x:c r="G27" s="51" t="n">
        <x:v>0</x:v>
      </x:c>
      <x:c r="H27" s="50" t="n">
        <x:f>F27+G27</x:f>
        <x:v>1440</x:v>
      </x:c>
    </x:row>
    <x:row r="28" ht="34" customHeight="1">
      <x:c r="A28" s="29" t="str">
        <x:v>Calidad y cierre</x:v>
      </x:c>
      <x:c r="B28" s="29" t="str">
        <x:v>Guion, documentación y preparación de capacitación</x:v>
      </x:c>
      <x:c r="C28" s="29" t="str">
        <x:v>Producto / PM</x:v>
      </x:c>
      <x:c r="D28" s="49" t="n">
        <x:v>16</x:v>
      </x:c>
      <x:c r="E28" s="50" t="n">
        <x:f>'Parámetros'!$B$6</x:f>
        <x:v>75</x:v>
      </x:c>
      <x:c r="F28" s="50" t="n">
        <x:f>D28*E28</x:f>
        <x:v>1200</x:v>
      </x:c>
      <x:c r="G28" s="51" t="n">
        <x:v>0</x:v>
      </x:c>
      <x:c r="H28" s="50" t="n">
        <x:f>F28+G28</x:f>
        <x:v>1200</x:v>
      </x:c>
    </x:row>
    <x:row r="29" ht="34" customHeight="1">
      <x:c r="A29" s="29" t="str">
        <x:v>Calidad y cierre</x:v>
      </x:c>
      <x:c r="B29" s="29" t="str">
        <x:v>Grabación y edición del video de capacitación</x:v>
      </x:c>
      <x:c r="C29" s="29" t="str">
        <x:v>Audiovisual</x:v>
      </x:c>
      <x:c r="D29" s="49" t="n">
        <x:v>20</x:v>
      </x:c>
      <x:c r="E29" s="50" t="n">
        <x:f>'Parámetros'!$B$12</x:f>
        <x:v>65</x:v>
      </x:c>
      <x:c r="F29" s="50" t="n">
        <x:f>D29*E29</x:f>
        <x:v>1300</x:v>
      </x:c>
      <x:c r="G29" s="51" t="n">
        <x:v>0</x:v>
      </x:c>
      <x:c r="H29" s="50" t="n">
        <x:f>F29+G29</x:f>
        <x:v>1300</x:v>
      </x:c>
    </x:row>
    <x:row r="30" ht="34" customHeight="1">
      <x:c r="A30" s="29" t="str">
        <x:v>Costos externos</x:v>
      </x:c>
      <x:c r="B30" s="29" t="str">
        <x:v>Servicio de email para pruebas y lanzamiento</x:v>
      </x:c>
      <x:c r="C30" s="29" t="str">
        <x:v>Costo externo</x:v>
      </x:c>
      <x:c r="D30" s="49" t="n">
        <x:v>0</x:v>
      </x:c>
      <x:c r="E30" s="50" t="n">
        <x:f>'Parámetros'!$B$13</x:f>
        <x:v>0</x:v>
      </x:c>
      <x:c r="F30" s="50" t="n">
        <x:f>D30*E30</x:f>
        <x:v>0</x:v>
      </x:c>
      <x:c r="G30" s="51" t="n">
        <x:v>500</x:v>
      </x:c>
      <x:c r="H30" s="50" t="n">
        <x:f>F30+G30</x:f>
        <x:v>500</x:v>
      </x:c>
    </x:row>
    <x:row r="31" ht="34" customHeight="1">
      <x:c r="A31" s="29" t="str">
        <x:v>Costos externos</x:v>
      </x:c>
      <x:c r="B31" s="29" t="str">
        <x:v>Almacenamiento/CDN adicional para imágenes</x:v>
      </x:c>
      <x:c r="C31" s="29" t="str">
        <x:v>Costo externo</x:v>
      </x:c>
      <x:c r="D31" s="49" t="n">
        <x:v>0</x:v>
      </x:c>
      <x:c r="E31" s="50" t="n">
        <x:f>'Parámetros'!$B$13</x:f>
        <x:v>0</x:v>
      </x:c>
      <x:c r="F31" s="50" t="n">
        <x:f>D31*E31</x:f>
        <x:v>0</x:v>
      </x:c>
      <x:c r="G31" s="51" t="n">
        <x:v>300</x:v>
      </x:c>
      <x:c r="H31" s="50" t="n">
        <x:f>F31+G31</x:f>
        <x:v>300</x:v>
      </x:c>
    </x:row>
    <x:row r="32" ht="34" customHeight="1">
      <x:c r="A32" s="29" t="str">
        <x:v>Costos externos</x:v>
      </x:c>
      <x:c r="B32" s="29" t="str">
        <x:v>Monitoreo, logs y herramientas de soporte</x:v>
      </x:c>
      <x:c r="C32" s="29" t="str">
        <x:v>Costo externo</x:v>
      </x:c>
      <x:c r="D32" s="49" t="n">
        <x:v>0</x:v>
      </x:c>
      <x:c r="E32" s="50" t="n">
        <x:f>'Parámetros'!$B$13</x:f>
        <x:v>0</x:v>
      </x:c>
      <x:c r="F32" s="50" t="n">
        <x:f>D32*E32</x:f>
        <x:v>0</x:v>
      </x:c>
      <x:c r="G32" s="51" t="n">
        <x:v>300</x:v>
      </x:c>
      <x:c r="H32" s="50" t="n">
        <x:f>F32+G32</x:f>
        <x:v>300</x:v>
      </x:c>
    </x:row>
    <x:row r="33" ht="34" customHeight="1">
      <x:c r="A33" s="29" t="str">
        <x:v>Costos externos</x:v>
      </x:c>
      <x:c r="B33" s="29" t="str">
        <x:v>Cuentas, dispositivos y recursos de prueba</x:v>
      </x:c>
      <x:c r="C33" s="29" t="str">
        <x:v>Costo externo</x:v>
      </x:c>
      <x:c r="D33" s="49" t="n">
        <x:v>0</x:v>
      </x:c>
      <x:c r="E33" s="50" t="n">
        <x:f>'Parámetros'!$B$13</x:f>
        <x:v>0</x:v>
      </x:c>
      <x:c r="F33" s="50" t="n">
        <x:f>D33*E33</x:f>
        <x:v>0</x:v>
      </x:c>
      <x:c r="G33" s="51" t="n">
        <x:v>200</x:v>
      </x:c>
      <x:c r="H33" s="50" t="n">
        <x:f>F33+G33</x:f>
        <x:v>200</x:v>
      </x:c>
    </x:row>
    <x:row r="34" ht="34" customHeight="1">
      <x:c r="A34" s="30" t="str">
        <x:v>Costos externos</x:v>
      </x:c>
      <x:c r="B34" s="30" t="str">
        <x:v>Recursos audiovisuales y subtítulos</x:v>
      </x:c>
      <x:c r="C34" s="30" t="str">
        <x:v>Costo externo</x:v>
      </x:c>
      <x:c r="D34" s="52" t="n">
        <x:v>0</x:v>
      </x:c>
      <x:c r="E34" s="53" t="n">
        <x:f>'Parámetros'!$B$13</x:f>
        <x:v>0</x:v>
      </x:c>
      <x:c r="F34" s="53" t="n">
        <x:f>D34*E34</x:f>
        <x:v>0</x:v>
      </x:c>
      <x:c r="G34" s="54" t="n">
        <x:v>300</x:v>
      </x:c>
      <x:c r="H34" s="53" t="n">
        <x:f>F34+G34</x:f>
        <x:v>300</x:v>
      </x:c>
    </x:row>
    <x:row r="35">
      <x:c r="A35" s="181"/>
      <x:c r="B35" s="181"/>
      <x:c r="C35" s="181"/>
      <x:c r="D35" s="181"/>
      <x:c r="E35" s="181"/>
      <x:c r="F35" s="181"/>
      <x:c r="G35" s="181"/>
      <x:c r="H35" s="181"/>
    </x:row>
    <x:row r="36">
      <x:c r="A36" s="57" t="str">
        <x:v>TOTAL BASE DIRECTO</x:v>
      </x:c>
      <x:c r="B36" s="57" t="str">
        <x:v>TOTAL BASE DIRECTO</x:v>
      </x:c>
      <x:c r="C36" s="57" t="str">
        <x:v>TOTAL BASE DIRECTO</x:v>
      </x:c>
      <x:c r="D36" s="58" t="n">
        <x:f>SUM(D5:D34)</x:f>
        <x:v>820</x:v>
      </x:c>
      <x:c r="E36" s="57"/>
      <x:c r="F36" s="59" t="n">
        <x:f>SUM(F5:F34)</x:f>
        <x:v>70320</x:v>
      </x:c>
      <x:c r="G36" s="59" t="n">
        <x:f>SUM(G5:G34)</x:f>
        <x:v>1600</x:v>
      </x:c>
      <x:c r="H36" s="59" t="n">
        <x:f>SUM(H5:H34)</x:f>
        <x:v>71920</x:v>
      </x:c>
    </x:row>
  </x:sheetData>
  <x:mergeCells>
    <x:mergeCell ref="A1:H1"/>
    <x:mergeCell ref="A2:H2"/>
    <x:mergeCell ref="A36:C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68" hidden="0" customWidth="1"/>
  </x:cols>
  <x:sheetData>
    <x:row r="1" ht="34" customHeight="1">
      <x:c r="A1" s="42" t="str">
        <x:v>Parámetros editables</x:v>
      </x:c>
      <x:c r="B1" s="42" t="str">
        <x:v>Parámetros editables</x:v>
      </x:c>
      <x:c r="C1" s="42" t="str">
        <x:v>Parámetros editables</x:v>
      </x:c>
    </x:row>
    <x:row r="2">
      <x:c r="A2" s="191" t="str">
        <x:v>Celdas azules = supuestos editables. Las fórmulas del modelo dependen de estos valores.</x:v>
      </x:c>
      <x:c r="B2" s="191" t="str">
        <x:v>Celdas azules = supuestos editables. Las fórmulas del modelo dependen de estos valores.</x:v>
      </x:c>
      <x:c r="C2" s="191" t="str">
        <x:v>Celdas azules = supuestos editables. Las fórmulas del modelo dependen de estos valores.</x:v>
      </x:c>
    </x:row>
    <x:row r="3">
      <x:c r="A3" s="181"/>
      <x:c r="B3" s="181"/>
      <x:c r="C3" s="181"/>
    </x:row>
    <x:row r="4" ht="24" customHeight="1">
      <x:c r="A4" s="12" t="str">
        <x:v>Tarifas internas por rol</x:v>
      </x:c>
      <x:c r="B4" s="12" t="str">
        <x:v>Tarifas internas por rol</x:v>
      </x:c>
      <x:c r="C4" s="12" t="str">
        <x:v>Tarifas internas por rol</x:v>
      </x:c>
    </x:row>
    <x:row r="5" ht="28" customHeight="1">
      <x:c r="A5" s="18" t="str">
        <x:v>Rol</x:v>
      </x:c>
      <x:c r="B5" s="18" t="str">
        <x:v>Tarifa por hora</x:v>
      </x:c>
      <x:c r="C5" s="18" t="str">
        <x:v>Criterio / nota</x:v>
      </x:c>
    </x:row>
    <x:row r="6">
      <x:c r="A6" s="21" t="str">
        <x:v>Producto / PM</x:v>
      </x:c>
      <x:c r="B6" s="27" t="n">
        <x:v>75</x:v>
      </x:c>
      <x:c r="C6" s="29" t="str">
        <x:v>Supuesto editable para planificación, Jira, UAT y documentación.</x:v>
      </x:c>
    </x:row>
    <x:row r="7">
      <x:c r="A7" s="21" t="str">
        <x:v>UX / UI</x:v>
      </x:c>
      <x:c r="B7" s="27" t="n">
        <x:v>70</x:v>
      </x:c>
      <x:c r="C7" s="29" t="str">
        <x:v>Supuesto editable para definición de flujos y experiencia responsive.</x:v>
      </x:c>
    </x:row>
    <x:row r="8">
      <x:c r="A8" s="21" t="str">
        <x:v>Frontend</x:v>
      </x:c>
      <x:c r="B8" s="27" t="n">
        <x:v>85</x:v>
      </x:c>
      <x:c r="C8" s="29" t="str">
        <x:v>Supuesto editable para implementación web y panel administrativo.</x:v>
      </x:c>
    </x:row>
    <x:row r="9">
      <x:c r="A9" s="21" t="str">
        <x:v>Backend / Base de datos</x:v>
      </x:c>
      <x:c r="B9" s="27" t="n">
        <x:v>95</x:v>
      </x:c>
      <x:c r="C9" s="29" t="str">
        <x:v>Supuesto editable para datos, permisos, pagos, emails y QR.</x:v>
      </x:c>
    </x:row>
    <x:row r="10">
      <x:c r="A10" s="21" t="str">
        <x:v>QA</x:v>
      </x:c>
      <x:c r="B10" s="27" t="n">
        <x:v>60</x:v>
      </x:c>
      <x:c r="C10" s="29" t="str">
        <x:v>Supuesto editable para pruebas funcionales, regresión y responsive.</x:v>
      </x:c>
    </x:row>
    <x:row r="11">
      <x:c r="A11" s="21" t="str">
        <x:v>DevOps</x:v>
      </x:c>
      <x:c r="B11" s="27" t="n">
        <x:v>90</x:v>
      </x:c>
      <x:c r="C11" s="29" t="str">
        <x:v>Supuesto editable para despliegue, configuración y monitoreo.</x:v>
      </x:c>
    </x:row>
    <x:row r="12">
      <x:c r="A12" s="21" t="str">
        <x:v>Audiovisual</x:v>
      </x:c>
      <x:c r="B12" s="27" t="n">
        <x:v>65</x:v>
      </x:c>
      <x:c r="C12" s="29" t="str">
        <x:v>Supuesto editable para grabación y edición del video de capacitación.</x:v>
      </x:c>
    </x:row>
    <x:row r="13">
      <x:c r="A13" s="22" t="str">
        <x:v>Costo externo</x:v>
      </x:c>
      <x:c r="B13" s="28" t="n">
        <x:v>0</x:v>
      </x:c>
      <x:c r="C13" s="30" t="str">
        <x:v>Usado en filas que solo contienen gastos de terceros.</x:v>
      </x:c>
    </x:row>
    <x:row r="14">
      <x:c r="A14" s="181"/>
      <x:c r="B14" s="181"/>
      <x:c r="C14" s="181"/>
    </x:row>
    <x:row r="15" ht="24" customHeight="1">
      <x:c r="A15" s="12" t="str">
        <x:v>Política de precio</x:v>
      </x:c>
      <x:c r="B15" s="12" t="str">
        <x:v>Política de precio</x:v>
      </x:c>
      <x:c r="C15" s="12" t="str">
        <x:v>Política de precio</x:v>
      </x:c>
    </x:row>
    <x:row r="16" ht="28" customHeight="1">
      <x:c r="A16" s="18" t="str">
        <x:v>Parámetro</x:v>
      </x:c>
      <x:c r="B16" s="18" t="str">
        <x:v>Valor</x:v>
      </x:c>
      <x:c r="C16" s="18" t="str">
        <x:v>Definición</x:v>
      </x:c>
    </x:row>
    <x:row r="17">
      <x:c r="A17" s="21" t="str">
        <x:v>Gastos operativos</x:v>
      </x:c>
      <x:c r="B17" s="31" t="n">
        <x:v>0.08</x:v>
      </x:c>
      <x:c r="C17" s="29" t="str">
        <x:v>Herramientas, gestión administrativa y carga operativa indirecta.</x:v>
      </x:c>
    </x:row>
    <x:row r="18">
      <x:c r="A18" s="21" t="str">
        <x:v>Contingencia base</x:v>
      </x:c>
      <x:c r="B18" s="31" t="n">
        <x:v>0.12</x:v>
      </x:c>
      <x:c r="C18" s="29" t="str">
        <x:v>Reserva para incertidumbre técnica, ajustes y retrabajo.</x:v>
      </x:c>
    </x:row>
    <x:row r="19">
      <x:c r="A19" s="21" t="str">
        <x:v>Margen bruto objetivo</x:v>
      </x:c>
      <x:c r="B19" s="31" t="n">
        <x:v>0.25</x:v>
      </x:c>
      <x:c r="C19" s="29" t="str">
        <x:v>Margen comercial aplicado sobre el precio antes de IGV.</x:v>
      </x:c>
    </x:row>
    <x:row r="20">
      <x:c r="A20" s="21" t="str">
        <x:v>IGV</x:v>
      </x:c>
      <x:c r="B20" s="31" t="n">
        <x:v>0.18</x:v>
      </x:c>
      <x:c r="C20" s="29" t="str">
        <x:v>Impuesto aplicable a la propuesta comercial.</x:v>
      </x:c>
    </x:row>
    <x:row r="21">
      <x:c r="A21" s="21" t="str">
        <x:v>Redondeo comercial</x:v>
      </x:c>
      <x:c r="B21" s="32" t="n">
        <x:v>500</x:v>
      </x:c>
      <x:c r="C21" s="29" t="str">
        <x:v>El precio antes de IGV se redondea al múltiplo más cercano.</x:v>
      </x:c>
    </x:row>
    <x:row r="22">
      <x:c r="A22" s="21" t="str">
        <x:v>Pago inicial</x:v>
      </x:c>
      <x:c r="B22" s="31" t="n">
        <x:v>0.4</x:v>
      </x:c>
      <x:c r="C22" s="29" t="str">
        <x:v>Propuesta de pago al inicio del proyecto.</x:v>
      </x:c>
    </x:row>
    <x:row r="23">
      <x:c r="A23" s="21" t="str">
        <x:v>Pago al UAT</x:v>
      </x:c>
      <x:c r="B23" s="31" t="n">
        <x:v>0.3</x:v>
      </x:c>
      <x:c r="C23" s="29" t="str">
        <x:v>Propuesta al iniciar validación con usuarios.</x:v>
      </x:c>
    </x:row>
    <x:row r="24">
      <x:c r="A24" s="22" t="str">
        <x:v>Pago final</x:v>
      </x:c>
      <x:c r="B24" s="33" t="n">
        <x:v>0.3</x:v>
      </x:c>
      <x:c r="C24" s="30" t="str">
        <x:v>Propuesta contra entrega y capacitación.</x:v>
      </x:c>
    </x:row>
    <x:row r="25">
      <x:c r="A25" s="181"/>
      <x:c r="B25" s="181"/>
      <x:c r="C25" s="181"/>
    </x:row>
    <x:row r="26" ht="40" customHeight="1">
      <x:c r="A26" s="192" t="str">
        <x:v>Nota: este modelo es una base interna. Antes de cotizar, validar horas, tarifas, IGV y condiciones de pago con la persona responsable.</x:v>
      </x:c>
      <x:c r="B26" s="193" t="str">
        <x:v>Nota: este modelo es una base interna. Antes de cotizar, validar horas, tarifas, IGV y condiciones de pago con la persona responsable.</x:v>
      </x:c>
      <x:c r="C26" s="194" t="str">
        <x:v>Nota: este modelo es una base interna. Antes de cotizar, validar horas, tarifas, IGV y condiciones de pago con la persona responsable.</x:v>
      </x:c>
    </x:row>
  </x:sheetData>
  <x:mergeCells>
    <x:mergeCell ref="A1:C1"/>
    <x:mergeCell ref="A2:C2"/>
    <x:mergeCell ref="A4:C4"/>
    <x:mergeCell ref="A15:C15"/>
    <x:mergeCell ref="A26:C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4" customHeight="1">
      <x:c r="A1" s="42" t="str">
        <x:v>Escenarios de precio</x:v>
      </x:c>
      <x:c r="B1" s="42" t="str">
        <x:v>Escenarios de precio</x:v>
      </x:c>
      <x:c r="C1" s="42" t="str">
        <x:v>Escenarios de precio</x:v>
      </x:c>
      <x:c r="D1" s="42" t="str">
        <x:v>Escenarios de precio</x:v>
      </x:c>
    </x:row>
    <x:row r="2">
      <x:c r="A2" s="191" t="str">
        <x:v>Los escenarios mantienen el mismo alcance y horas. Cambian únicamente la reserva de contingencia y el margen comercial.</x:v>
      </x:c>
      <x:c r="B2" s="191" t="str">
        <x:v>Los escenarios mantienen el mismo alcance y horas. Cambian únicamente la reserva de contingencia y el margen comercial.</x:v>
      </x:c>
      <x:c r="C2" s="191" t="str">
        <x:v>Los escenarios mantienen el mismo alcance y horas. Cambian únicamente la reserva de contingencia y el margen comercial.</x:v>
      </x:c>
      <x:c r="D2" s="191" t="str">
        <x:v>Los escenarios mantienen el mismo alcance y horas. Cambian únicamente la reserva de contingencia y el margen comercial.</x:v>
      </x:c>
    </x:row>
    <x:row r="3">
      <x:c r="A3" s="181"/>
      <x:c r="B3" s="181"/>
      <x:c r="C3" s="181"/>
      <x:c r="D3" s="181"/>
    </x:row>
    <x:row r="4" ht="28" customHeight="1">
      <x:c r="A4" s="18" t="str">
        <x:v>Concepto</x:v>
      </x:c>
      <x:c r="B4" s="18" t="str">
        <x:v>Mínimo</x:v>
      </x:c>
      <x:c r="C4" s="64" t="str">
        <x:v>Recomendado</x:v>
      </x:c>
      <x:c r="D4" s="18" t="str">
        <x:v>Con reserva</x:v>
      </x:c>
    </x:row>
    <x:row r="5">
      <x:c r="A5" s="21" t="str">
        <x:v>Contingencia</x:v>
      </x:c>
      <x:c r="B5" s="31" t="n">
        <x:v>0.08</x:v>
      </x:c>
      <x:c r="C5" s="65" t="n">
        <x:v>0.12</x:v>
      </x:c>
      <x:c r="D5" s="31" t="n">
        <x:v>0.18</x:v>
      </x:c>
    </x:row>
    <x:row r="6">
      <x:c r="A6" s="21" t="str">
        <x:v>Margen bruto</x:v>
      </x:c>
      <x:c r="B6" s="31" t="n">
        <x:v>0.15</x:v>
      </x:c>
      <x:c r="C6" s="65" t="n">
        <x:v>0.25</x:v>
      </x:c>
      <x:c r="D6" s="31" t="n">
        <x:v>0.35</x:v>
      </x:c>
    </x:row>
    <x:row r="7">
      <x:c r="A7" s="21" t="str">
        <x:v>Costo directo</x:v>
      </x:c>
      <x:c r="B7" s="46" t="n">
        <x:f>'Presupuesto'!$H$36</x:f>
        <x:v>71920</x:v>
      </x:c>
      <x:c r="C7" s="66" t="n">
        <x:f>'Presupuesto'!$H$36</x:f>
        <x:v>71920</x:v>
      </x:c>
      <x:c r="D7" s="46" t="n">
        <x:f>'Presupuesto'!$H$36</x:f>
        <x:v>71920</x:v>
      </x:c>
    </x:row>
    <x:row r="8">
      <x:c r="A8" s="21" t="str">
        <x:v>Gastos operativos</x:v>
      </x:c>
      <x:c r="B8" s="46" t="n">
        <x:f>B7*'Parámetros'!$B$17</x:f>
        <x:v>5753.6</x:v>
      </x:c>
      <x:c r="C8" s="66" t="n">
        <x:f>C7*'Parámetros'!$B$17</x:f>
        <x:v>5753.6</x:v>
      </x:c>
      <x:c r="D8" s="46" t="n">
        <x:f>D7*'Parámetros'!$B$17</x:f>
        <x:v>5753.6</x:v>
      </x:c>
    </x:row>
    <x:row r="9">
      <x:c r="A9" s="21" t="str">
        <x:v>Costo antes de contingencia</x:v>
      </x:c>
      <x:c r="B9" s="46" t="n">
        <x:f>B7+B8</x:f>
        <x:v>77673.6</x:v>
      </x:c>
      <x:c r="C9" s="66" t="n">
        <x:f>C7+C8</x:f>
        <x:v>77673.6</x:v>
      </x:c>
      <x:c r="D9" s="46" t="n">
        <x:f>D7+D8</x:f>
        <x:v>77673.6</x:v>
      </x:c>
    </x:row>
    <x:row r="10">
      <x:c r="A10" s="21" t="str">
        <x:v>Costo total estimado</x:v>
      </x:c>
      <x:c r="B10" s="46" t="n">
        <x:f>B9*(1+B5)</x:f>
        <x:v>83887.48800000001</x:v>
      </x:c>
      <x:c r="C10" s="66" t="n">
        <x:f>C9*(1+C5)</x:f>
        <x:v>86994.43200000002</x:v>
      </x:c>
      <x:c r="D10" s="46" t="n">
        <x:f>D9*(1+D5)</x:f>
        <x:v>91654.848</x:v>
      </x:c>
    </x:row>
    <x:row r="11">
      <x:c r="A11" s="21" t="str">
        <x:v>Precio calculado sin IGV</x:v>
      </x:c>
      <x:c r="B11" s="46" t="n">
        <x:f>B10/(1-B6)</x:f>
        <x:v>98691.16235294119</x:v>
      </x:c>
      <x:c r="C11" s="66" t="n">
        <x:f>C10/(1-C6)</x:f>
        <x:v>115992.57600000002</x:v>
      </x:c>
      <x:c r="D11" s="46" t="n">
        <x:f>D10/(1-D6)</x:f>
        <x:v>141007.45846153845</x:v>
      </x:c>
    </x:row>
    <x:row r="12">
      <x:c r="A12" s="21" t="str">
        <x:v>Precio comercial sin IGV</x:v>
      </x:c>
      <x:c r="B12" s="46" t="n">
        <x:f>ROUND(B11/'Parámetros'!$B$21,0)*'Parámetros'!$B$21</x:f>
        <x:v>98500</x:v>
      </x:c>
      <x:c r="C12" s="66" t="n">
        <x:f>ROUND(C11/'Parámetros'!$B$21,0)*'Parámetros'!$B$21</x:f>
        <x:v>116000</x:v>
      </x:c>
      <x:c r="D12" s="46" t="n">
        <x:f>ROUND(D11/'Parámetros'!$B$21,0)*'Parámetros'!$B$21</x:f>
        <x:v>141000</x:v>
      </x:c>
    </x:row>
    <x:row r="13">
      <x:c r="A13" s="68" t="str">
        <x:v>Precio comercial con IGV</x:v>
      </x:c>
      <x:c r="B13" s="69" t="n">
        <x:f>B12*(1+'Parámetros'!$B$20)</x:f>
        <x:v>116230</x:v>
      </x:c>
      <x:c r="C13" s="70" t="n">
        <x:f>C12*(1+'Parámetros'!$B$20)</x:f>
        <x:v>136880</x:v>
      </x:c>
      <x:c r="D13" s="69" t="n">
        <x:f>D12*(1+'Parámetros'!$B$20)</x:f>
        <x:v>166380</x:v>
      </x:c>
    </x:row>
    <x:row r="14">
      <x:c r="A14" s="181"/>
      <x:c r="B14" s="181"/>
      <x:c r="C14" s="181"/>
      <x:c r="D14" s="181"/>
    </x:row>
    <x:row r="15" ht="42" customHeight="1">
      <x:c r="A15" s="192" t="str">
        <x:v>Uso recomendado: cotizar el escenario Recomendado y conservar “Con reserva” como referencia cuando existan dependencias o cambios por definir.</x:v>
      </x:c>
      <x:c r="B15" s="193" t="str">
        <x:v>Uso recomendado: cotizar el escenario Recomendado y conservar “Con reserva” como referencia cuando existan dependencias o cambios por definir.</x:v>
      </x:c>
      <x:c r="C15" s="193" t="str">
        <x:v>Uso recomendado: cotizar el escenario Recomendado y conservar “Con reserva” como referencia cuando existan dependencias o cambios por definir.</x:v>
      </x:c>
      <x:c r="D15" s="194" t="str">
        <x:v>Uso recomendado: cotizar el escenario Recomendado y conservar “Con reserva” como referencia cuando existan dependencias o cambios por definir.</x:v>
      </x:c>
    </x:row>
  </x:sheetData>
  <x:mergeCells>
    <x:mergeCell ref="A1:D1"/>
    <x:mergeCell ref="A2:D2"/>
    <x:mergeCell ref="A15:D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56" hidden="0" customWidth="1"/>
  </x:cols>
  <x:sheetData>
    <x:row r="1" ht="34" customHeight="1">
      <x:c r="A1" s="42" t="str">
        <x:v>Control del modelo</x:v>
      </x:c>
      <x:c r="B1" s="42" t="str">
        <x:v>Control del modelo</x:v>
      </x:c>
      <x:c r="C1" s="42" t="str">
        <x:v>Control del modelo</x:v>
      </x:c>
    </x:row>
    <x:row r="2">
      <x:c r="A2" s="195" t="str">
        <x:v>El estado PASS indica que los principales supuestos y totales están dentro de los rangos de control.</x:v>
      </x:c>
      <x:c r="B2" s="195" t="str">
        <x:v>El estado PASS indica que los principales supuestos y totales están dentro de los rangos de control.</x:v>
      </x:c>
      <x:c r="C2" s="195" t="str">
        <x:v>El estado PASS indica que los principales supuestos y totales están dentro de los rangos de control.</x:v>
      </x:c>
    </x:row>
    <x:row r="3">
      <x:c r="A3" s="181"/>
      <x:c r="B3" s="181"/>
      <x:c r="C3" s="181"/>
    </x:row>
    <x:row r="4" ht="30" customHeight="1">
      <x:c r="A4" s="169" t="str">
        <x:v>MODEL STATUS</x:v>
      </x:c>
      <x:c r="B4" s="169" t="str">
        <x:f>IF(COUNTIF(B7:B12,"FAIL")=0,"PASS","FAIL")</x:f>
        <x:v>PASS</x:v>
      </x:c>
      <x:c r="C4" s="169"/>
    </x:row>
    <x:row r="5">
      <x:c r="A5" s="181"/>
      <x:c r="B5" s="181"/>
      <x:c r="C5" s="181"/>
    </x:row>
    <x:row r="6" ht="28" customHeight="1">
      <x:c r="A6" s="18" t="str">
        <x:v>Control</x:v>
      </x:c>
      <x:c r="B6" s="18" t="str">
        <x:v>Estado</x:v>
      </x:c>
      <x:c r="C6" s="18" t="str">
        <x:v>Detalle</x:v>
      </x:c>
    </x:row>
    <x:row r="7">
      <x:c r="A7" s="21" t="str">
        <x:v>Pagos suman 100%</x:v>
      </x:c>
      <x:c r="B7" s="21" t="str">
        <x:f>IF(ABS(SUM('Parámetros'!$B$22:$B$24)-1)&lt;0.0001,"PASS","FAIL")</x:f>
        <x:v>PASS</x:v>
      </x:c>
      <x:c r="C7" s="21" t="str">
        <x:v>Inicio + UAT + final debe ser 100%.</x:v>
      </x:c>
    </x:row>
    <x:row r="8">
      <x:c r="A8" s="21" t="str">
        <x:v>Margen válido</x:v>
      </x:c>
      <x:c r="B8" s="21" t="str">
        <x:f>IF(AND('Parámetros'!$B$19&gt;=0,'Parámetros'!$B$19&lt;0.6),"PASS","FAIL")</x:f>
        <x:v>PASS</x:v>
      </x:c>
      <x:c r="C8" s="21" t="str">
        <x:v>Debe estar entre 0% y 60%.</x:v>
      </x:c>
    </x:row>
    <x:row r="9">
      <x:c r="A9" s="21" t="str">
        <x:v>IGV válido</x:v>
      </x:c>
      <x:c r="B9" s="21" t="str">
        <x:f>IF(AND('Parámetros'!$B$20&gt;=0,'Parámetros'!$B$20&lt;=0.3),"PASS","FAIL")</x:f>
        <x:v>PASS</x:v>
      </x:c>
      <x:c r="C9" s="21" t="str">
        <x:v>Debe estar entre 0% y 30%.</x:v>
      </x:c>
    </x:row>
    <x:row r="10">
      <x:c r="A10" s="21" t="str">
        <x:v>Horas no negativas</x:v>
      </x:c>
      <x:c r="B10" s="21" t="str">
        <x:f>IF(MIN('Presupuesto'!$D$5:$D$34)&gt;=0,"PASS","FAIL")</x:f>
        <x:v>PASS</x:v>
      </x:c>
      <x:c r="C10" s="21" t="str">
        <x:v>Ninguna actividad puede tener horas negativas.</x:v>
      </x:c>
    </x:row>
    <x:row r="11">
      <x:c r="A11" s="21" t="str">
        <x:v>Tarifas no negativas</x:v>
      </x:c>
      <x:c r="B11" s="21" t="str">
        <x:f>IF(MIN('Parámetros'!$B$6:$B$13)&gt;=0,"PASS","FAIL")</x:f>
        <x:v>PASS</x:v>
      </x:c>
      <x:c r="C11" s="21" t="str">
        <x:v>Ninguna tarifa puede ser negativa.</x:v>
      </x:c>
    </x:row>
    <x:row r="12">
      <x:c r="A12" s="22" t="str">
        <x:v>Costos externos no negativos</x:v>
      </x:c>
      <x:c r="B12" s="22" t="str">
        <x:f>IF(MIN('Presupuesto'!$G$5:$G$34)&gt;=0,"PASS","FAIL")</x:f>
        <x:v>PASS</x:v>
      </x:c>
      <x:c r="C12" s="22" t="str">
        <x:v>Ningún gasto externo puede ser negativo.</x:v>
      </x:c>
    </x:row>
  </x:sheetData>
  <x:mergeCells>
    <x:mergeCell ref="A1:C1"/>
    <x:mergeCell ref="A2:C2"/>
    <x:mergeCell ref="B4:C4"/>
  </x:mergeCells>
  <x:conditionalFormatting sqref="B4:C4">
    <x:cfRule type="expression" dxfId="0" priority="1">
      <x:formula>$B$4="PASS"</x:formula>
    </x:cfRule>
    <x:cfRule type="expression" dxfId="1" priority="2">
      <x:formula>$B$4="FAIL"</x:formula>
    </x:cfRule>
  </x:conditionalFormatting>
  <x:conditionalFormatting sqref="B7:B12">
    <x:cfRule type="expression" dxfId="2" priority="3">
      <x:formula>B7="PASS"</x:formula>
    </x:cfRule>
    <x:cfRule type="expression" dxfId="3" priority="4">
      <x:formula>B7="FAIL"</x:formula>
    </x:cfRule>
  </x:conditionalFormatting>
  <x:pageMargins left="0.7" right="0.7" top="0.75" bottom="0.75" header="0.3" footer="0.3"/>
</x:worksheet>
</file>